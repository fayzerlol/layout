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xmlns:r="http://schemas.openxmlformats.org/officeDocument/2006/relationships" name="DATASHEET EQUIPAMENTOS" sheetId="1" state="visible" r:id="rId1"/>
    <sheet xmlns:r="http://schemas.openxmlformats.org/officeDocument/2006/relationships" name="VALE - MG" sheetId="2" state="visible" r:id="rId2"/>
    <sheet xmlns:r="http://schemas.openxmlformats.org/officeDocument/2006/relationships" name="CALCULOS" sheetId="3" state="visible" r:id="rId3"/>
    <sheet xmlns:r="http://schemas.openxmlformats.org/officeDocument/2006/relationships" name="SUMMARY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24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</font>
    <font>
      <name val="Segoe UI"/>
      <family val="2"/>
      <b val="1"/>
      <color indexed="81"/>
      <sz val="9"/>
    </font>
    <font>
      <name val="Segoe UI"/>
      <family val="2"/>
      <color indexed="81"/>
      <sz val="9"/>
    </font>
    <font>
      <name val="Calibri"/>
      <family val="2"/>
      <b val="1"/>
      <color theme="1"/>
      <sz val="18"/>
      <scheme val="minor"/>
    </font>
    <font>
      <name val="Calibri"/>
      <family val="2"/>
      <color theme="0" tint="-0.1499984740745262"/>
      <sz val="11"/>
      <scheme val="minor"/>
    </font>
    <font>
      <name val="Calibri"/>
      <family val="2"/>
      <color theme="1"/>
      <sz val="11"/>
    </font>
    <font>
      <name val="Calibri"/>
      <family val="2"/>
      <sz val="8"/>
      <scheme val="minor"/>
    </font>
    <font>
      <name val="Calibri"/>
      <family val="2"/>
      <b val="1"/>
      <sz val="11"/>
      <scheme val="minor"/>
    </font>
    <font>
      <name val="Calibri"/>
      <family val="2"/>
      <color theme="1"/>
      <sz val="16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sz val="18"/>
      <scheme val="minor"/>
    </font>
    <font>
      <name val="Calibri"/>
      <family val="2"/>
      <b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color rgb="FF002060"/>
      <sz val="11"/>
      <scheme val="minor"/>
    </font>
  </fonts>
  <fills count="18">
    <fill>
      <patternFill/>
    </fill>
    <fill>
      <patternFill patternType="gray125"/>
    </fill>
    <fill>
      <patternFill patternType="solid">
        <fgColor theme="7" tint="0.7999816888943144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249977111117893"/>
        <bgColor theme="4" tint="0.799981688894314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6" tint="-0.24997711111789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172">
    <xf numFmtId="0" fontId="0" fillId="0" borderId="0" pivotButton="0" quotePrefix="0" xfId="0"/>
    <xf numFmtId="0" fontId="2" fillId="2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pivotButton="0" quotePrefix="0" xfId="0"/>
    <xf numFmtId="0" fontId="0" fillId="4" borderId="0" pivotButton="0" quotePrefix="0" xfId="0"/>
    <xf numFmtId="0" fontId="6" fillId="4" borderId="0" applyAlignment="1" pivotButton="0" quotePrefix="0" xfId="0">
      <alignment horizontal="left" vertical="center"/>
    </xf>
    <xf numFmtId="49" fontId="6" fillId="4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2" fillId="7" borderId="3" applyAlignment="1" pivotButton="0" quotePrefix="0" xfId="0">
      <alignment horizontal="center" vertical="center"/>
    </xf>
    <xf numFmtId="0" fontId="2" fillId="8" borderId="3" applyAlignment="1" pivotButton="0" quotePrefix="0" xfId="0">
      <alignment horizontal="center" vertical="center"/>
    </xf>
    <xf numFmtId="0" fontId="2" fillId="8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7" fillId="0" borderId="0" pivotButton="0" quotePrefix="0" xfId="0"/>
    <xf numFmtId="0" fontId="0" fillId="0" borderId="0" applyAlignment="1" pivotButton="0" quotePrefix="0" xfId="0">
      <alignment horizontal="center" vertical="center" wrapText="1"/>
    </xf>
    <xf numFmtId="0" fontId="0" fillId="0" borderId="1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0" fontId="0" fillId="10" borderId="0" pivotButton="0" quotePrefix="0" xfId="0"/>
    <xf numFmtId="0" fontId="0" fillId="10" borderId="0" applyAlignment="1" pivotButton="0" quotePrefix="0" xfId="0">
      <alignment horizontal="center" vertical="center"/>
    </xf>
    <xf numFmtId="0" fontId="2" fillId="7" borderId="7" applyAlignment="1" pivotButton="0" quotePrefix="0" xfId="0">
      <alignment horizontal="center" vertical="center"/>
    </xf>
    <xf numFmtId="0" fontId="2" fillId="8" borderId="7" applyAlignment="1" pivotButton="0" quotePrefix="0" xfId="0">
      <alignment horizontal="center" vertical="center"/>
    </xf>
    <xf numFmtId="0" fontId="2" fillId="8" borderId="8" applyAlignment="1" pivotButton="0" quotePrefix="0" xfId="0">
      <alignment horizontal="center" vertical="center"/>
    </xf>
    <xf numFmtId="0" fontId="2" fillId="2" borderId="9" applyAlignment="1" pivotButton="0" quotePrefix="0" xfId="0">
      <alignment horizontal="center" vertical="center" wrapText="1"/>
    </xf>
    <xf numFmtId="0" fontId="2" fillId="2" borderId="9" applyAlignment="1" pivotButton="0" quotePrefix="0" xfId="0">
      <alignment vertical="center" wrapText="1"/>
    </xf>
    <xf numFmtId="1" fontId="0" fillId="0" borderId="1" applyAlignment="1" pivotButton="0" quotePrefix="0" xfId="0">
      <alignment horizontal="center" vertical="center"/>
    </xf>
    <xf numFmtId="0" fontId="8" fillId="3" borderId="1" applyAlignment="1" applyProtection="1" pivotButton="0" quotePrefix="0" xfId="1">
      <alignment horizontal="center" vertical="center"/>
      <protection locked="0" hidden="0"/>
    </xf>
    <xf numFmtId="0" fontId="10" fillId="2" borderId="10" applyAlignment="1" pivotButton="0" quotePrefix="0" xfId="0">
      <alignment horizontal="center" vertical="center" wrapText="1"/>
    </xf>
    <xf numFmtId="0" fontId="10" fillId="2" borderId="11" applyAlignment="1" pivotButton="0" quotePrefix="0" xfId="0">
      <alignment horizontal="center" vertical="center" wrapText="1"/>
    </xf>
    <xf numFmtId="49" fontId="10" fillId="2" borderId="11" applyAlignment="1" pivotButton="0" quotePrefix="0" xfId="0">
      <alignment horizontal="center" vertical="center" wrapText="1"/>
    </xf>
    <xf numFmtId="0" fontId="10" fillId="2" borderId="12" applyAlignment="1" pivotButton="0" quotePrefix="0" xfId="0">
      <alignment horizontal="center" vertical="center" wrapText="1"/>
    </xf>
    <xf numFmtId="0" fontId="2" fillId="9" borderId="9" applyAlignment="1" pivotButton="0" quotePrefix="0" xfId="0">
      <alignment horizontal="center" vertical="center" wrapText="1"/>
    </xf>
    <xf numFmtId="0" fontId="0" fillId="9" borderId="1" applyAlignment="1" pivotButton="0" quotePrefix="0" xfId="0">
      <alignment horizontal="center" vertical="center"/>
    </xf>
    <xf numFmtId="0" fontId="0" fillId="9" borderId="0" pivotButton="0" quotePrefix="0" xfId="0"/>
    <xf numFmtId="2" fontId="0" fillId="0" borderId="0" pivotButton="0" quotePrefix="0" xfId="0"/>
    <xf numFmtId="1" fontId="10" fillId="2" borderId="9" applyAlignment="1" pivotButton="0" quotePrefix="0" xfId="0">
      <alignment horizontal="center" vertical="center" wrapText="1"/>
    </xf>
    <xf numFmtId="0" fontId="10" fillId="2" borderId="9" applyAlignment="1" pivotButton="0" quotePrefix="0" xfId="0">
      <alignment horizontal="center" vertical="center" wrapText="1"/>
    </xf>
    <xf numFmtId="0" fontId="10" fillId="2" borderId="5" applyAlignment="1" pivotButton="0" quotePrefix="0" xfId="0">
      <alignment horizontal="center" vertical="center" wrapText="1"/>
    </xf>
    <xf numFmtId="0" fontId="0" fillId="4" borderId="2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9" borderId="9" applyAlignment="1" pivotButton="0" quotePrefix="0" xfId="0">
      <alignment horizontal="center" vertical="center"/>
    </xf>
    <xf numFmtId="1" fontId="0" fillId="0" borderId="9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10" borderId="9" applyAlignment="1" pivotButton="0" quotePrefix="0" xfId="0">
      <alignment horizontal="center" vertical="center"/>
    </xf>
    <xf numFmtId="1" fontId="0" fillId="10" borderId="9" applyAlignment="1" pivotButton="0" quotePrefix="0" xfId="0">
      <alignment horizontal="center" vertical="center"/>
    </xf>
    <xf numFmtId="0" fontId="0" fillId="10" borderId="6" applyAlignment="1" pivotButton="0" quotePrefix="0" xfId="0">
      <alignment horizontal="center" vertical="center"/>
    </xf>
    <xf numFmtId="0" fontId="0" fillId="4" borderId="9" applyAlignment="1" pivotButton="0" quotePrefix="0" xfId="0">
      <alignment horizontal="center" vertical="center"/>
    </xf>
    <xf numFmtId="0" fontId="0" fillId="10" borderId="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10" fillId="2" borderId="13" applyAlignment="1" pivotButton="0" quotePrefix="0" xfId="0">
      <alignment horizontal="center" vertical="center" wrapText="1"/>
    </xf>
    <xf numFmtId="0" fontId="11" fillId="0" borderId="0" pivotButton="0" quotePrefix="0" xfId="0"/>
    <xf numFmtId="164" fontId="13" fillId="0" borderId="0" pivotButton="0" quotePrefix="0" xfId="0"/>
    <xf numFmtId="0" fontId="12" fillId="11" borderId="1" applyAlignment="1" pivotButton="0" quotePrefix="0" xfId="0">
      <alignment horizontal="center"/>
    </xf>
    <xf numFmtId="0" fontId="0" fillId="0" borderId="1" applyAlignment="1" applyProtection="1" pivotButton="0" quotePrefix="0" xfId="0">
      <alignment horizontal="center"/>
      <protection locked="0" hidden="0"/>
    </xf>
    <xf numFmtId="164" fontId="11" fillId="0" borderId="1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/>
      <protection locked="0" hidden="0"/>
    </xf>
    <xf numFmtId="0" fontId="0" fillId="10" borderId="1" applyAlignment="1" applyProtection="1" pivotButton="0" quotePrefix="0" xfId="0">
      <alignment horizontal="center"/>
      <protection locked="0" hidden="0"/>
    </xf>
    <xf numFmtId="0" fontId="0" fillId="10" borderId="1" applyAlignment="1" pivotButton="0" quotePrefix="0" xfId="0">
      <alignment horizontal="center"/>
    </xf>
    <xf numFmtId="0" fontId="0" fillId="9" borderId="1" applyAlignment="1" applyProtection="1" pivotButton="0" quotePrefix="0" xfId="0">
      <alignment horizontal="center"/>
      <protection locked="0" hidden="0"/>
    </xf>
    <xf numFmtId="0" fontId="0" fillId="12" borderId="1" applyAlignment="1" applyProtection="1" pivotButton="0" quotePrefix="0" xfId="0">
      <alignment horizontal="center"/>
      <protection locked="0" hidden="0"/>
    </xf>
    <xf numFmtId="164" fontId="13" fillId="0" borderId="1" applyAlignment="1" pivotButton="0" quotePrefix="0" xfId="0">
      <alignment horizontal="center"/>
    </xf>
    <xf numFmtId="164" fontId="13" fillId="10" borderId="1" applyAlignment="1" pivotButton="0" quotePrefix="0" xfId="0">
      <alignment horizontal="center"/>
    </xf>
    <xf numFmtId="0" fontId="14" fillId="0" borderId="0" pivotButton="0" quotePrefix="0" xfId="0"/>
    <xf numFmtId="0" fontId="14" fillId="0" borderId="1" pivotButton="0" quotePrefix="0" xfId="0"/>
    <xf numFmtId="0" fontId="15" fillId="2" borderId="11" applyAlignment="1" pivotButton="0" quotePrefix="0" xfId="0">
      <alignment horizontal="center" vertical="center" wrapText="1"/>
    </xf>
    <xf numFmtId="164" fontId="14" fillId="0" borderId="1" applyAlignment="1" pivotButton="0" quotePrefix="0" xfId="0">
      <alignment horizontal="center"/>
    </xf>
    <xf numFmtId="0" fontId="2" fillId="5" borderId="3" applyAlignment="1" pivotButton="0" quotePrefix="0" xfId="0">
      <alignment horizontal="center" vertical="center"/>
    </xf>
    <xf numFmtId="0" fontId="2" fillId="6" borderId="3" applyAlignment="1" pivotButton="0" quotePrefix="0" xfId="0">
      <alignment horizontal="center" vertical="center"/>
    </xf>
    <xf numFmtId="164" fontId="19" fillId="0" borderId="1" applyAlignment="1" pivotButton="0" quotePrefix="0" xfId="0">
      <alignment horizontal="center"/>
    </xf>
    <xf numFmtId="0" fontId="16" fillId="6" borderId="2" applyAlignment="1" pivotButton="0" quotePrefix="0" xfId="0">
      <alignment horizontal="center" vertical="center"/>
    </xf>
    <xf numFmtId="0" fontId="16" fillId="6" borderId="3" applyAlignment="1" pivotButton="0" quotePrefix="0" xfId="0">
      <alignment horizontal="center" vertical="center"/>
    </xf>
    <xf numFmtId="0" fontId="10" fillId="6" borderId="10" applyAlignment="1" pivotButton="0" quotePrefix="0" xfId="0">
      <alignment horizontal="center" vertical="center" wrapText="1"/>
    </xf>
    <xf numFmtId="0" fontId="10" fillId="6" borderId="11" applyAlignment="1" pivotButton="0" quotePrefix="0" xfId="0">
      <alignment horizontal="center" vertical="center" wrapText="1"/>
    </xf>
    <xf numFmtId="0" fontId="0" fillId="6" borderId="1" applyAlignment="1" applyProtection="1" pivotButton="0" quotePrefix="0" xfId="0">
      <alignment horizontal="center"/>
      <protection locked="0" hidden="0"/>
    </xf>
    <xf numFmtId="0" fontId="3" fillId="13" borderId="1" applyAlignment="1" applyProtection="1" pivotButton="0" quotePrefix="0" xfId="1">
      <alignment horizontal="center"/>
      <protection locked="0" hidden="0"/>
    </xf>
    <xf numFmtId="0" fontId="3" fillId="6" borderId="1" applyAlignment="1" applyProtection="1" pivotButton="0" quotePrefix="0" xfId="1">
      <alignment horizontal="center"/>
      <protection locked="0" hidden="0"/>
    </xf>
    <xf numFmtId="0" fontId="0" fillId="6" borderId="1" applyAlignment="1" pivotButton="0" quotePrefix="0" xfId="0">
      <alignment horizontal="center"/>
    </xf>
    <xf numFmtId="0" fontId="18" fillId="14" borderId="1" applyAlignment="1" pivotButton="0" quotePrefix="0" xfId="0">
      <alignment horizontal="center"/>
    </xf>
    <xf numFmtId="0" fontId="18" fillId="15" borderId="1" applyAlignment="1" applyProtection="1" pivotButton="0" quotePrefix="0" xfId="0">
      <alignment horizontal="center"/>
      <protection locked="0" hidden="0"/>
    </xf>
    <xf numFmtId="0" fontId="18" fillId="15" borderId="1" applyAlignment="1" pivotButton="0" quotePrefix="0" xfId="0">
      <alignment horizontal="center"/>
    </xf>
    <xf numFmtId="0" fontId="18" fillId="15" borderId="2" applyAlignment="1" applyProtection="1" pivotButton="0" quotePrefix="0" xfId="0">
      <alignment horizontal="center"/>
      <protection locked="0" hidden="0"/>
    </xf>
    <xf numFmtId="0" fontId="18" fillId="15" borderId="2" applyAlignment="1" pivotButton="0" quotePrefix="0" xfId="0">
      <alignment horizontal="center"/>
    </xf>
    <xf numFmtId="0" fontId="21" fillId="5" borderId="3" applyAlignment="1" pivotButton="0" quotePrefix="0" xfId="0">
      <alignment horizontal="center" vertical="center"/>
    </xf>
    <xf numFmtId="0" fontId="21" fillId="8" borderId="4" applyAlignment="1" pivotButton="0" quotePrefix="0" xfId="0">
      <alignment horizontal="center" vertical="center"/>
    </xf>
    <xf numFmtId="0" fontId="21" fillId="0" borderId="1" applyAlignment="1" applyProtection="1" pivotButton="0" quotePrefix="0" xfId="0">
      <alignment horizontal="center" vertical="center"/>
      <protection locked="0" hidden="0"/>
    </xf>
    <xf numFmtId="0" fontId="21" fillId="0" borderId="1" applyAlignment="1" pivotButton="0" quotePrefix="0" xfId="0">
      <alignment horizontal="center" vertical="center"/>
    </xf>
    <xf numFmtId="0" fontId="21" fillId="0" borderId="1" pivotButton="0" quotePrefix="0" xfId="0"/>
    <xf numFmtId="0" fontId="12" fillId="11" borderId="4" applyAlignment="1" pivotButton="0" quotePrefix="0" xfId="0">
      <alignment horizontal="center"/>
    </xf>
    <xf numFmtId="0" fontId="2" fillId="5" borderId="2" applyAlignment="1" pivotButton="0" quotePrefix="0" xfId="0">
      <alignment horizontal="center" vertical="center"/>
    </xf>
    <xf numFmtId="0" fontId="16" fillId="6" borderId="4" applyAlignment="1" pivotButton="0" quotePrefix="0" xfId="0">
      <alignment horizontal="center" vertical="center"/>
    </xf>
    <xf numFmtId="0" fontId="21" fillId="5" borderId="14" applyAlignment="1" pivotButton="0" quotePrefix="0" xfId="0">
      <alignment horizontal="center" vertical="center" wrapText="1"/>
    </xf>
    <xf numFmtId="0" fontId="17" fillId="0" borderId="14" applyAlignment="1" applyProtection="1" pivotButton="0" quotePrefix="0" xfId="0">
      <alignment horizontal="center"/>
      <protection locked="0" hidden="0"/>
    </xf>
    <xf numFmtId="0" fontId="21" fillId="6" borderId="14" applyAlignment="1" pivotButton="0" quotePrefix="0" xfId="0">
      <alignment horizontal="center" vertical="center" wrapText="1"/>
    </xf>
    <xf numFmtId="0" fontId="18" fillId="16" borderId="10" applyAlignment="1" pivotButton="0" quotePrefix="0" xfId="0">
      <alignment horizontal="center"/>
    </xf>
    <xf numFmtId="0" fontId="21" fillId="17" borderId="11" applyAlignment="1" applyProtection="1" pivotButton="0" quotePrefix="0" xfId="0">
      <alignment horizontal="center"/>
      <protection locked="0" hidden="0"/>
    </xf>
    <xf numFmtId="0" fontId="23" fillId="17" borderId="11" applyAlignment="1" applyProtection="1" pivotButton="0" quotePrefix="0" xfId="0">
      <alignment horizontal="center"/>
      <protection locked="0" hidden="0"/>
    </xf>
    <xf numFmtId="0" fontId="17" fillId="0" borderId="15" applyAlignment="1" applyProtection="1" pivotButton="0" quotePrefix="0" xfId="0">
      <alignment horizontal="center"/>
      <protection locked="0" hidden="0"/>
    </xf>
    <xf numFmtId="0" fontId="18" fillId="17" borderId="11" applyAlignment="1" applyProtection="1" pivotButton="0" quotePrefix="0" xfId="0">
      <alignment horizontal="center"/>
      <protection locked="0" hidden="0"/>
    </xf>
    <xf numFmtId="0" fontId="18" fillId="16" borderId="14" applyAlignment="1" pivotButton="0" quotePrefix="0" xfId="0">
      <alignment horizontal="center"/>
    </xf>
    <xf numFmtId="0" fontId="21" fillId="17" borderId="14" applyAlignment="1" applyProtection="1" pivotButton="0" quotePrefix="0" xfId="0">
      <alignment horizontal="center"/>
      <protection locked="0" hidden="0"/>
    </xf>
    <xf numFmtId="0" fontId="19" fillId="17" borderId="14" applyAlignment="1" applyProtection="1" pivotButton="0" quotePrefix="0" xfId="0">
      <alignment horizontal="center"/>
      <protection locked="0" hidden="0"/>
    </xf>
    <xf numFmtId="0" fontId="23" fillId="17" borderId="14" applyAlignment="1" applyProtection="1" pivotButton="0" quotePrefix="0" xfId="0">
      <alignment horizontal="center"/>
      <protection locked="0" hidden="0"/>
    </xf>
    <xf numFmtId="0" fontId="21" fillId="17" borderId="14" applyAlignment="1" pivotButton="0" quotePrefix="0" xfId="0">
      <alignment horizontal="center"/>
    </xf>
    <xf numFmtId="0" fontId="19" fillId="17" borderId="14" applyAlignment="1" pivotButton="0" quotePrefix="0" xfId="0">
      <alignment horizontal="center"/>
    </xf>
    <xf numFmtId="0" fontId="18" fillId="17" borderId="14" applyAlignment="1" applyProtection="1" pivotButton="0" quotePrefix="0" xfId="0">
      <alignment horizontal="center"/>
      <protection locked="0" hidden="0"/>
    </xf>
    <xf numFmtId="0" fontId="12" fillId="11" borderId="16" applyAlignment="1" pivotButton="0" quotePrefix="0" xfId="0">
      <alignment horizontal="center"/>
    </xf>
    <xf numFmtId="0" fontId="2" fillId="6" borderId="17" applyAlignment="1" pivotButton="0" quotePrefix="0" xfId="0">
      <alignment horizontal="center" vertical="center"/>
    </xf>
    <xf numFmtId="0" fontId="12" fillId="11" borderId="18" applyAlignment="1" pivotButton="0" quotePrefix="0" xfId="0">
      <alignment horizontal="center"/>
    </xf>
    <xf numFmtId="0" fontId="2" fillId="6" borderId="19" applyAlignment="1" pivotButton="0" quotePrefix="0" xfId="0">
      <alignment horizontal="center" vertical="center"/>
    </xf>
    <xf numFmtId="0" fontId="2" fillId="6" borderId="23" applyAlignment="1" pivotButton="0" quotePrefix="0" xfId="0">
      <alignment horizontal="center" vertical="center"/>
    </xf>
    <xf numFmtId="0" fontId="2" fillId="6" borderId="24" applyAlignment="1" pivotButton="0" quotePrefix="0" xfId="0">
      <alignment horizontal="center" vertical="center"/>
    </xf>
    <xf numFmtId="0" fontId="2" fillId="6" borderId="25" applyAlignment="1" pivotButton="0" quotePrefix="0" xfId="0">
      <alignment horizontal="center" vertical="center"/>
    </xf>
    <xf numFmtId="0" fontId="2" fillId="6" borderId="26" applyAlignment="1" pivotButton="0" quotePrefix="0" xfId="0">
      <alignment horizontal="center" vertical="center"/>
    </xf>
    <xf numFmtId="0" fontId="2" fillId="6" borderId="27" applyAlignment="1" pivotButton="0" quotePrefix="0" xfId="0">
      <alignment horizontal="center" vertical="center"/>
    </xf>
    <xf numFmtId="0" fontId="2" fillId="6" borderId="28" applyAlignment="1" pivotButton="0" quotePrefix="0" xfId="0">
      <alignment horizontal="center" vertical="center"/>
    </xf>
    <xf numFmtId="0" fontId="18" fillId="16" borderId="29" applyAlignment="1" pivotButton="0" quotePrefix="0" xfId="0">
      <alignment horizontal="center"/>
    </xf>
    <xf numFmtId="49" fontId="18" fillId="14" borderId="1" applyAlignment="1" pivotButton="0" quotePrefix="0" xfId="0">
      <alignment horizontal="center" vertical="center" wrapText="1"/>
    </xf>
    <xf numFmtId="49" fontId="18" fillId="15" borderId="1" applyAlignment="1" pivotButton="0" quotePrefix="0" xfId="0">
      <alignment horizontal="center" vertical="center" wrapText="1"/>
    </xf>
    <xf numFmtId="0" fontId="18" fillId="14" borderId="1" applyAlignment="1" pivotButton="0" quotePrefix="0" xfId="0">
      <alignment horizontal="center" vertical="center" wrapText="1"/>
    </xf>
    <xf numFmtId="0" fontId="18" fillId="15" borderId="2" applyAlignment="1" pivotButton="0" quotePrefix="0" xfId="0">
      <alignment horizontal="center" vertical="center" wrapText="1"/>
    </xf>
    <xf numFmtId="0" fontId="18" fillId="16" borderId="30" applyAlignment="1" pivotButton="0" quotePrefix="0" xfId="0">
      <alignment horizontal="center"/>
    </xf>
    <xf numFmtId="0" fontId="18" fillId="16" borderId="1" applyAlignment="1" pivotButton="0" quotePrefix="0" xfId="0">
      <alignment horizontal="center"/>
    </xf>
    <xf numFmtId="0" fontId="17" fillId="0" borderId="31" applyAlignment="1" applyProtection="1" pivotButton="0" quotePrefix="0" xfId="0">
      <alignment horizontal="center"/>
      <protection locked="0" hidden="0"/>
    </xf>
    <xf numFmtId="0" fontId="0" fillId="0" borderId="2" applyAlignment="1" applyProtection="1" pivotButton="0" quotePrefix="0" xfId="0">
      <alignment horizontal="center"/>
      <protection locked="0" hidden="0"/>
    </xf>
    <xf numFmtId="164" fontId="19" fillId="0" borderId="2" applyAlignment="1" applyProtection="1" pivotButton="0" quotePrefix="0" xfId="0">
      <alignment horizontal="center"/>
      <protection locked="0" hidden="0"/>
    </xf>
    <xf numFmtId="164" fontId="19" fillId="0" borderId="3" applyAlignment="1" applyProtection="1" pivotButton="0" quotePrefix="0" xfId="0">
      <alignment horizontal="center"/>
      <protection locked="0" hidden="0"/>
    </xf>
    <xf numFmtId="164" fontId="19" fillId="0" borderId="4" applyAlignment="1" applyProtection="1" pivotButton="0" quotePrefix="0" xfId="0">
      <alignment horizontal="center"/>
      <protection locked="0" hidden="0"/>
    </xf>
    <xf numFmtId="0" fontId="0" fillId="0" borderId="4" applyAlignment="1" pivotButton="0" quotePrefix="0" xfId="0">
      <alignment horizontal="center"/>
    </xf>
    <xf numFmtId="0" fontId="0" fillId="0" borderId="9" applyAlignment="1" applyProtection="1" pivotButton="0" quotePrefix="0" xfId="0">
      <alignment horizontal="center"/>
      <protection locked="0" hidden="0"/>
    </xf>
    <xf numFmtId="0" fontId="0" fillId="6" borderId="9" applyAlignment="1" pivotButton="0" quotePrefix="0" xfId="0">
      <alignment horizontal="center"/>
    </xf>
    <xf numFmtId="0" fontId="18" fillId="14" borderId="9" applyAlignment="1" pivotButton="0" quotePrefix="0" xfId="0">
      <alignment horizontal="center"/>
    </xf>
    <xf numFmtId="0" fontId="18" fillId="15" borderId="9" applyAlignment="1" applyProtection="1" pivotButton="0" quotePrefix="0" xfId="0">
      <alignment horizontal="center"/>
      <protection locked="0" hidden="0"/>
    </xf>
    <xf numFmtId="0" fontId="18" fillId="15" borderId="6" applyAlignment="1" pivotButton="0" quotePrefix="0" xfId="0">
      <alignment horizontal="center"/>
    </xf>
    <xf numFmtId="0" fontId="17" fillId="0" borderId="32" applyAlignment="1" applyProtection="1" pivotButton="0" quotePrefix="0" xfId="0">
      <alignment horizontal="center"/>
      <protection locked="0" hidden="0"/>
    </xf>
    <xf numFmtId="0" fontId="18" fillId="16" borderId="33" applyAlignment="1" pivotButton="0" quotePrefix="0" xfId="0">
      <alignment horizontal="center"/>
    </xf>
    <xf numFmtId="0" fontId="18" fillId="16" borderId="9" applyAlignment="1" pivotButton="0" quotePrefix="0" xfId="0">
      <alignment horizontal="center"/>
    </xf>
    <xf numFmtId="0" fontId="12" fillId="11" borderId="9" applyAlignment="1" pivotButton="0" quotePrefix="0" xfId="0">
      <alignment horizontal="center"/>
    </xf>
    <xf numFmtId="0" fontId="17" fillId="0" borderId="34" applyAlignment="1" applyProtection="1" pivotButton="0" quotePrefix="0" xfId="0">
      <alignment horizontal="center"/>
      <protection locked="0" hidden="0"/>
    </xf>
    <xf numFmtId="0" fontId="0" fillId="0" borderId="6" applyAlignment="1" applyProtection="1" pivotButton="0" quotePrefix="0" xfId="0">
      <alignment horizontal="center"/>
      <protection locked="0" hidden="0"/>
    </xf>
    <xf numFmtId="164" fontId="19" fillId="0" borderId="6" applyAlignment="1" applyProtection="1" pivotButton="0" quotePrefix="0" xfId="0">
      <alignment horizontal="center"/>
      <protection locked="0" hidden="0"/>
    </xf>
    <xf numFmtId="164" fontId="19" fillId="0" borderId="7" applyAlignment="1" applyProtection="1" pivotButton="0" quotePrefix="0" xfId="0">
      <alignment horizontal="center"/>
      <protection locked="0" hidden="0"/>
    </xf>
    <xf numFmtId="164" fontId="19" fillId="0" borderId="8" applyAlignment="1" applyProtection="1" pivotButton="0" quotePrefix="0" xfId="0">
      <alignment horizontal="center"/>
      <protection locked="0" hidden="0"/>
    </xf>
    <xf numFmtId="0" fontId="0" fillId="0" borderId="8" applyAlignment="1" pivotButton="0" quotePrefix="0" xfId="0">
      <alignment horizontal="center"/>
    </xf>
    <xf numFmtId="164" fontId="11" fillId="0" borderId="9" applyAlignment="1" pivotButton="0" quotePrefix="0" xfId="0">
      <alignment horizontal="center"/>
    </xf>
    <xf numFmtId="164" fontId="14" fillId="0" borderId="9" applyAlignment="1" pivotButton="0" quotePrefix="0" xfId="0">
      <alignment horizontal="center"/>
    </xf>
    <xf numFmtId="164" fontId="13" fillId="0" borderId="9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6" borderId="11" applyAlignment="1" applyProtection="1" pivotButton="0" quotePrefix="0" xfId="0">
      <alignment horizontal="center"/>
      <protection locked="0" hidden="0"/>
    </xf>
    <xf numFmtId="0" fontId="3" fillId="10" borderId="1" applyAlignment="1" applyProtection="1" pivotButton="0" quotePrefix="0" xfId="1">
      <alignment horizontal="center"/>
      <protection locked="0" hidden="0"/>
    </xf>
    <xf numFmtId="0" fontId="0" fillId="9" borderId="4" applyAlignment="1" applyProtection="1" pivotButton="0" quotePrefix="0" xfId="0">
      <alignment horizontal="center"/>
      <protection locked="0" hidden="0"/>
    </xf>
    <xf numFmtId="0" fontId="21" fillId="8" borderId="3" applyAlignment="1" pivotButton="0" quotePrefix="0" xfId="0">
      <alignment horizontal="center" vertical="center"/>
    </xf>
    <xf numFmtId="0" fontId="2" fillId="5" borderId="2" applyAlignment="1" pivotButton="0" quotePrefix="0" xfId="0">
      <alignment horizontal="center" vertical="center"/>
    </xf>
    <xf numFmtId="0" fontId="2" fillId="5" borderId="3" applyAlignment="1" pivotButton="0" quotePrefix="0" xfId="0">
      <alignment horizontal="center" vertical="center"/>
    </xf>
    <xf numFmtId="0" fontId="22" fillId="6" borderId="2" applyAlignment="1" pivotButton="0" quotePrefix="0" xfId="0">
      <alignment horizontal="center" vertical="center"/>
    </xf>
    <xf numFmtId="0" fontId="22" fillId="6" borderId="3" applyAlignment="1" pivotButton="0" quotePrefix="0" xfId="0">
      <alignment horizontal="center" vertical="center"/>
    </xf>
    <xf numFmtId="0" fontId="22" fillId="6" borderId="4" applyAlignment="1" pivotButton="0" quotePrefix="0" xfId="0">
      <alignment horizontal="center" vertical="center"/>
    </xf>
    <xf numFmtId="0" fontId="22" fillId="5" borderId="2" applyAlignment="1" pivotButton="0" quotePrefix="0" xfId="0">
      <alignment horizontal="center" vertical="center"/>
    </xf>
    <xf numFmtId="0" fontId="22" fillId="5" borderId="3" applyAlignment="1" pivotButton="0" quotePrefix="0" xfId="0">
      <alignment horizontal="center" vertical="center"/>
    </xf>
    <xf numFmtId="0" fontId="20" fillId="6" borderId="20" applyAlignment="1" pivotButton="0" quotePrefix="0" xfId="0">
      <alignment horizontal="center" vertical="center"/>
    </xf>
    <xf numFmtId="0" fontId="20" fillId="6" borderId="21" applyAlignment="1" pivotButton="0" quotePrefix="0" xfId="0">
      <alignment horizontal="center" vertical="center"/>
    </xf>
    <xf numFmtId="0" fontId="20" fillId="6" borderId="22" applyAlignment="1" pivotButton="0" quotePrefix="0" xfId="0">
      <alignment horizontal="center" vertical="center"/>
    </xf>
    <xf numFmtId="0" fontId="21" fillId="7" borderId="3" applyAlignment="1" pivotButton="0" quotePrefix="0" xfId="0">
      <alignment horizontal="center" vertical="center"/>
    </xf>
    <xf numFmtId="0" fontId="22" fillId="6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0" fillId="6" borderId="35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</cellXfs>
  <cellStyles count="2">
    <cellStyle name="Normal" xfId="0" builtinId="0"/>
    <cellStyle name="Normal 2" xfId="1"/>
  </cellStyles>
  <dxfs count="112"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b val="1"/>
        <strike val="0"/>
        <outline val="0"/>
        <shadow val="0"/>
        <sz val="16"/>
        <vertAlign val="baseline"/>
        <scheme val="minor"/>
      </font>
      <numFmt numFmtId="164" formatCode="0.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1"/>
        <sz val="16"/>
      </font>
      <numFmt numFmtId="164" formatCode="0.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6"/>
        <vertAlign val="baseline"/>
        <scheme val="minor"/>
      </font>
      <numFmt numFmtId="164" formatCode="0.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0"/>
        <vertAlign val="baseline"/>
        <scheme val="minor"/>
      </font>
      <numFmt numFmtId="164" formatCode="0.0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lor theme="1"/>
        <sz val="16"/>
        <vertAlign val="baseline"/>
        <scheme val="minor"/>
      </font>
      <numFmt numFmtId="164" formatCode="0.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b val="1"/>
        <strike val="0"/>
        <outline val="0"/>
        <shadow val="0"/>
        <color theme="1"/>
        <sz val="14"/>
        <vertAlign val="baseline"/>
        <scheme val="minor"/>
      </font>
      <numFmt numFmtId="164" formatCode="0.0"/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1"/>
        <sz val="14"/>
        <vertAlign val="baseline"/>
        <scheme val="minor"/>
      </font>
      <numFmt numFmtId="164" formatCode="0.0"/>
      <alignment horizontal="center" vertical="bottom"/>
      <border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1"/>
        <sz val="14"/>
        <vertAlign val="baseline"/>
        <scheme val="minor"/>
      </font>
      <numFmt numFmtId="164" formatCode="0.0"/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indexed="65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1"/>
        <sz val="12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numFmt numFmtId="0" formatCode="General"/>
      <alignment horizontal="center" vertical="bottom"/>
      <border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ill>
        <patternFill>
          <fgColor indexed="64"/>
          <bgColor theme="6" tint="-0.249977111117893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1"/>
        <sz val="12"/>
        <vertAlign val="baseline"/>
        <scheme val="minor"/>
      </font>
      <fill>
        <patternFill patternType="solid">
          <fgColor indexed="64"/>
          <bgColor theme="0" tint="-0.3499862666707358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6" tint="-0.249977111117893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fill>
        <patternFill patternType="solid">
          <fgColor indexed="64"/>
          <bgColor rgb="FF99330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6" tint="-0.249977111117893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fill>
        <patternFill patternType="solid">
          <fgColor indexed="64"/>
          <bgColor rgb="FF993300"/>
        </patternFill>
      </fill>
      <alignment horizontal="center" vertical="bottom"/>
      <border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lor theme="1"/>
        <sz val="14"/>
        <vertAlign val="baseline"/>
        <scheme val="minor"/>
      </font>
      <alignment horizontal="center" vertical="bottom"/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  <protection locked="0" hidden="0"/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fill>
        <patternFill patternType="solid">
          <fgColor indexed="64"/>
          <bgColor theme="1" tint="0.249977111117893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indexed="65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fill>
        <patternFill patternType="solid">
          <fgColor indexed="64"/>
          <bgColor theme="1" tint="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name val="Calibri"/>
        <family val="2"/>
        <b val="1"/>
        <strike val="0"/>
        <outline val="0"/>
        <shadow val="0"/>
        <color theme="0"/>
        <sz val="14"/>
        <vertAlign val="baseline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2" tint="-0.249977111117893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 outline="0">
        <bottom style="thin">
          <color indexed="64"/>
        </bottom>
      </border>
    </dxf>
    <dxf>
      <font>
        <name val="Calibri"/>
        <family val="2"/>
        <b val="1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 patternType="solid">
          <fgColor indexed="64"/>
          <bgColor theme="7" tint="0.7999816888943144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strike val="0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strike val="0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</font>
      <fill>
        <patternFill patternType="solid">
          <bgColor theme="7" tint="-0.249946592608417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auto="1"/>
        </patternFill>
      </fill>
    </dxf>
    <dxf>
      <font>
        <b val="1"/>
        <color theme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FF0000"/>
        </patternFill>
      </fill>
    </dxf>
    <dxf>
      <fill>
        <patternFill>
          <bgColor auto="1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</font>
      <fill>
        <patternFill patternType="solid">
          <fgColor auto="1"/>
          <bgColor theme="7" tint="-0.249946592608417"/>
        </patternFill>
      </fill>
    </dxf>
    <dxf>
      <font>
        <b val="1"/>
      </font>
      <fill>
        <patternFill patternType="solid">
          <bgColor theme="7" tint="-0.249946592608417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auto="1"/>
        </patternFill>
      </fill>
    </dxf>
    <dxf>
      <font>
        <b val="1"/>
        <color theme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1"/>
      </font>
      <fill>
        <patternFill>
          <bgColor rgb="FFFFC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b val="1"/>
        <strike val="0"/>
        <color theme="0"/>
      </font>
      <fill>
        <patternFill>
          <bgColor rgb="FFFF0000"/>
        </patternFill>
      </fill>
    </dxf>
    <dxf>
      <font>
        <b val="1"/>
        <color theme="0"/>
      </font>
      <fill>
        <patternFill>
          <bgColor rgb="FF00B050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" formatCode="0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rgb="FFFF000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7" tint="0.7999816888943144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comments/comment1.xml><?xml version="1.0" encoding="utf-8"?>
<comments xmlns="http://schemas.openxmlformats.org/spreadsheetml/2006/main">
  <authors>
    <author>Eduardo Lage</author>
  </authors>
  <commentList>
    <comment ref="H14" authorId="0" shapeId="0">
      <text>
        <t>Eduardo Lage:
Esse equipamento não tem transmissão. Estes sensores são nos componentes hidráulicos próximos da lança (Boom).</t>
      </text>
    </comment>
    <comment ref="K14" authorId="0" shapeId="0">
      <text>
        <t>Eduardo Lage:
Esse equipamento não tem transmissão. Estes bicos são nos componentes hidráulicos próximos da lança (Boom).</t>
      </text>
    </comment>
    <comment ref="H15" authorId="0" shapeId="0">
      <text>
        <t>Eduardo Lage:
Esse equipamento não tem transmissão. Estes sensores são nos componentes hidráulicos próximos da lança (Boom).</t>
      </text>
    </comment>
    <comment ref="K15" authorId="0" shapeId="0">
      <text>
        <t>Eduardo Lage:
Esse equipamento não tem transmissão. Estes bicos são nos componentes hidráulicos próximos da lança (Boom).</t>
      </text>
    </comment>
    <comment ref="H16" authorId="0" shapeId="0">
      <text>
        <t>Eduardo Lage:
Esse equipamento não tem transmissão. Estes sensores são nos componentes hidráulicos próximos da lança (Boom).</t>
      </text>
    </comment>
    <comment ref="K16" authorId="0" shapeId="0">
      <text>
        <t>Eduardo Lage:
Esse equipamento não tem transmissão. Estes bicos são nos componentes hidráulicos próximos da lança (Boom).</t>
      </text>
    </comment>
    <comment ref="I34" authorId="0" shapeId="0">
      <text>
        <t>Eduardo Lage:
Sensor no chassi dianteiro</t>
      </text>
    </comment>
    <comment ref="L34" authorId="0" shapeId="0">
      <text>
        <t>Eduardo Lage:
Bicos no chassi dianteiro</t>
      </text>
    </comment>
    <comment ref="I47" authorId="0" shapeId="0">
      <text>
        <t>Eduardo Lage:
Sensor no chassi dianteiro</t>
      </text>
    </comment>
    <comment ref="L47" authorId="0" shapeId="0">
      <text>
        <t>Eduardo Lage:
Bicos no chassi dianteiro</t>
      </text>
    </comment>
    <comment ref="I48" authorId="0" shapeId="0">
      <text>
        <t>Eduardo Lage:
Sensor no chassi dianteiro</t>
      </text>
    </comment>
    <comment ref="L48" authorId="0" shapeId="0">
      <text>
        <t>Eduardo Lage:
Bicos no chassi dianteiro</t>
      </text>
    </comment>
    <comment ref="I49" authorId="0" shapeId="0">
      <text>
        <t>Eduardo Lage:
Sensor no chassi dianteiro</t>
      </text>
    </comment>
    <comment ref="L49" authorId="0" shapeId="0">
      <text>
        <t>Eduardo Lage:
Bicos no chassi dianteiro</t>
      </text>
    </comment>
    <comment ref="I50" authorId="0" shapeId="0">
      <text>
        <t>Eduardo Lage:
Sensor no chassi dianteiro</t>
      </text>
    </comment>
    <comment ref="L50" authorId="0" shapeId="0">
      <text>
        <t>Eduardo Lage:
Bicos no chassi dianteiro</t>
      </text>
    </comment>
    <comment ref="I51" authorId="0" shapeId="0">
      <text>
        <t>Eduardo Lage:
Sensor no chassi dianteiro</t>
      </text>
    </comment>
    <comment ref="L51" authorId="0" shapeId="0">
      <text>
        <t>Eduardo Lage:
Bicos no chassi dianteiro</t>
      </text>
    </comment>
    <comment ref="I52" authorId="0" shapeId="0">
      <text>
        <t>Eduardo Lage:
Sensor no chassi dianteiro</t>
      </text>
    </comment>
    <comment ref="L52" authorId="0" shapeId="0">
      <text>
        <t>Eduardo Lage:
Bicos no chassi dianteiro</t>
      </text>
    </comment>
    <comment ref="I53" authorId="0" shapeId="0">
      <text>
        <t>Eduardo Lage:
Sensor no chassi dianteiro</t>
      </text>
    </comment>
    <comment ref="L53" authorId="0" shapeId="0">
      <text>
        <t>Eduardo Lage:
Bicos no chassi dianteiro</t>
      </text>
    </comment>
    <comment ref="I54" authorId="0" shapeId="0">
      <text>
        <t>Eduardo Lage:
Sensor no chassi dianteiro</t>
      </text>
    </comment>
    <comment ref="L54" authorId="0" shapeId="0">
      <text>
        <t>Eduardo Lage:
Bicos no chassi dianteiro</t>
      </text>
    </comment>
    <comment ref="I55" authorId="0" shapeId="0">
      <text>
        <t>Eduardo Lage:
Sensor no chassi dianteiro</t>
      </text>
    </comment>
    <comment ref="L55" authorId="0" shapeId="0">
      <text>
        <t>Eduardo Lage:
Bicos no chassi dianteiro</t>
      </text>
    </comment>
    <comment ref="I56" authorId="0" shapeId="0">
      <text>
        <t>Eduardo Lage:
Sensor no chassi dianteiro</t>
      </text>
    </comment>
    <comment ref="L56" authorId="0" shapeId="0">
      <text>
        <t>Eduardo Lage:
Bicos no chassi dianteiro</t>
      </text>
    </comment>
    <comment ref="H71" authorId="0" shapeId="0">
      <text>
        <t>Eduardo Lage:
Esse equipamento não tem transmissão. Estes sensores são nos componentes hidráulicos próximos da lança (Boom).</t>
      </text>
    </comment>
    <comment ref="K71" authorId="0" shapeId="0">
      <text>
        <t>Eduardo Lage:
Esse equipamento não tem transmissão. Estes bicos são nos componentes hidráulicos próximos da lança (Boom).</t>
      </text>
    </comment>
    <comment ref="H72" authorId="0" shapeId="0">
      <text>
        <t>Eduardo Lage:
Esse equipamento não tem transmissão. Estes sensores são nos componentes hidráulicos próximos da lança (Boom).</t>
      </text>
    </comment>
    <comment ref="K72" authorId="0" shapeId="0">
      <text>
        <t>Eduardo Lage:
Esse equipamento não tem transmissão. Estes bicos são nos componentes hidráulicos próximos da lança (Boom).</t>
      </text>
    </comment>
    <comment ref="H74" authorId="0" shapeId="0">
      <text>
        <t>Eduardo Lage:
Esse equipamento não tem transmissão. Estes sensores são nos componentes hidráulicos próximos da lança (Boom).</t>
      </text>
    </comment>
    <comment ref="K74" authorId="0" shapeId="0">
      <text>
        <t>Eduardo Lage:
Esse equipamento não tem transmissão. Estes bicos são nos componentes hidráulicos próximos da lança (Boom).</t>
      </text>
    </comment>
    <comment ref="H75" authorId="0" shapeId="0">
      <text>
        <t>Eduardo Lage:
Esse equipamento não tem transmissão. Estes sensores são nos componentes hidráulicos próximos da lança (Boom).</t>
      </text>
    </comment>
    <comment ref="K75" authorId="0" shapeId="0">
      <text>
        <t>Eduardo Lage:
Esse equipamento não tem transmissão. Estes bicos são nos componentes hidráulicos próximos da lança (Boom).</t>
      </text>
    </comment>
    <comment ref="H78" authorId="0" shapeId="0">
      <text>
        <t>Eduardo Lage:
Esse equipamento não tem transmissão. Estes sensores são nos componentes hidráulicos próximos da lança (Boom).</t>
      </text>
    </comment>
    <comment ref="K78" authorId="0" shapeId="0">
      <text>
        <t>Eduardo Lage:
Esse equipamento não tem transmissão. Estes bicos são nos componentes hidráulicos próximos da lança (Boom).</t>
      </text>
    </comment>
    <comment ref="N78" authorId="0" shapeId="0">
      <text>
        <t>Eduardo Lage:
Esse equipamento não tem transmissão. Estes bicos são nos componentes hidráulicos próximos da lança (Boom).</t>
      </text>
    </comment>
    <comment ref="H79" authorId="0" shapeId="0">
      <text>
        <t>Eduardo Lage:
Esse equipamento não tem transmissão. Estes sensores são nos componentes hidráulicos próximos da lança (Boom).</t>
      </text>
    </comment>
    <comment ref="K79" authorId="0" shapeId="0">
      <text>
        <t>Eduardo Lage:
Esse equipamento não tem transmissão. Estes bicos são nos componentes hidráulicos próximos da lança (Boom).</t>
      </text>
    </comment>
    <comment ref="N79" authorId="0" shapeId="0">
      <text>
        <t>Eduardo Lage:
Esse equipamento não tem transmissão. Estes bicos são nos componentes hidráulicos próximos da lança (Boom).</t>
      </text>
    </comment>
    <comment ref="H80" authorId="0" shapeId="0">
      <text>
        <t>Eduardo Lage:
Esse equipamento não tem transmissão. Estes sensores são nos componentes hidráulicos próximos da lança (Boom).</t>
      </text>
    </comment>
    <comment ref="K80" authorId="0" shapeId="0">
      <text>
        <t>Eduardo Lage:
Esse equipamento não tem transmissão. Estes bicos são nos componentes hidráulicos próximos da lança (Boom).</t>
      </text>
    </comment>
    <comment ref="N80" authorId="0" shapeId="0">
      <text>
        <t>Eduardo Lage:
Esse equipamento não tem transmissão. Estes bicos são nos componentes hidráulicos próximos da lança (Boom).</t>
      </text>
    </comment>
    <comment ref="I82" authorId="0" shapeId="0">
      <text>
        <t>Eduardo Lage:
Sensor no chassi dianteiro</t>
      </text>
    </comment>
    <comment ref="L82" authorId="0" shapeId="0">
      <text>
        <t>Eduardo Lage:
Bicos no chassi dianteiro</t>
      </text>
    </comment>
    <comment ref="I83" authorId="0" shapeId="0">
      <text>
        <t>Eduardo Lage:
Sensor no chassi dianteiro</t>
      </text>
    </comment>
    <comment ref="L83" authorId="0" shapeId="0">
      <text>
        <t>Eduardo Lage:
Bicos no chassi dianteiro</t>
      </text>
    </comment>
    <comment ref="I84" authorId="0" shapeId="0">
      <text>
        <t>Eduardo Lage:
Sensor no chassi dianteiro</t>
      </text>
    </comment>
    <comment ref="L84" authorId="0" shapeId="0">
      <text>
        <t>Eduardo Lage:
Bicos no chassi dianteiro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0</col>
      <colOff>24378</colOff>
      <row>0</row>
      <rowOff>1</rowOff>
    </from>
    <to>
      <col>2</col>
      <colOff>31893</colOff>
      <row>0</row>
      <rowOff>493059</rowOff>
    </to>
    <pic>
      <nvPicPr>
        <cNvPr id="2" name="Imagem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4378" y="1"/>
          <a:ext cx="1531515" cy="493058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ela1" displayName="Tabela1" ref="A1:P104" headerRowCount="1" totalsRowShown="0" headerRowDxfId="111" dataDxfId="110" tableBorderDxfId="109">
  <autoFilter ref="A1:P104"/>
  <tableColumns count="16">
    <tableColumn id="1" name="Local"/>
    <tableColumn id="2" name="Sistema"/>
    <tableColumn id="3" name="Fabricante"/>
    <tableColumn id="4" name="Modelo" dataDxfId="108"/>
    <tableColumn id="5" name="R. PQS" dataDxfId="107"/>
    <tableColumn id="6" name="R. Liquido" dataDxfId="106"/>
    <tableColumn id="7" name="R. sensor motor" dataDxfId="105"/>
    <tableColumn id="8" name="R. sensor transmissao" dataDxfId="104"/>
    <tableColumn id="9" name="R. sensor bombas" dataDxfId="103"/>
    <tableColumn id="10" name="R. bicos motor" dataDxfId="102"/>
    <tableColumn id="11" name="R. bicos transmissao" dataDxfId="101"/>
    <tableColumn id="12" name="R. bicos bombas" dataDxfId="100"/>
    <tableColumn id="13" name="R. bicos liquido motor" dataDxfId="99"/>
    <tableColumn id="14" name="R. bicos liquido transmissao" dataDxfId="98"/>
    <tableColumn id="15" name="R. bicos liquido bombas" dataDxfId="97"/>
    <tableColumn id="16" name="NFPA EXIGE SISTEMA DUAL? (Acima de 150gal)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6:AS241" headerRowCount="1" totalsRowShown="0" headerRowDxfId="49" dataDxfId="47" headerRowBorderDxfId="48" tableBorderDxfId="46" totalsRowBorderDxfId="45">
  <autoFilter ref="A6:AS241">
    <filterColumn colId="1">
      <filters>
        <filter val="CAUÊ"/>
        <filter val="CONCEIÇÃO"/>
      </filters>
    </filterColumn>
  </autoFilter>
  <tableColumns count="45">
    <tableColumn id="46" name="complexo" dataDxfId="44"/>
    <tableColumn id="1" name="Local" dataDxfId="43"/>
    <tableColumn id="2" name="TAG" dataDxfId="42"/>
    <tableColumn id="3" name="Sistema" dataDxfId="41"/>
    <tableColumn id="4" name="Fabricante" dataDxfId="40"/>
    <tableColumn id="5" name="Modelo" dataDxfId="39"/>
    <tableColumn id="6" name="Recomendado_x000a_Qtd. PQS" dataDxfId="38">
      <calculatedColumnFormula>IFERROR(IF(F7=$AB$2,"",VLOOKUP(F7,'DATASHEET EQUIPAMENTOS'!D:N,2,FALSE)),"")</calculatedColumnFormula>
    </tableColumn>
    <tableColumn id="7" name="Instalado_x000a_Qtd. PQS" dataDxfId="37"/>
    <tableColumn id="40" name="NFPA EXIGE SISTEMA DUAL? (Acima de 150gal)" dataDxfId="36">
      <calculatedColumnFormula>_xlfn.XLOOKUP(Tabela2[[#This Row],[Modelo]],'DATASHEET EQUIPAMENTOS'!D:D,'DATASHEET EQUIPAMENTOS'!P:P,"",0,1)</calculatedColumnFormula>
    </tableColumn>
    <tableColumn id="8" name="Recomendado_x000a_QTD. Ag Líquido" dataDxfId="35">
      <calculatedColumnFormula>IF(F7=$Z$2,"",VLOOKUP(F7,'DATASHEET EQUIPAMENTOS'!D:N,3,FALSE))</calculatedColumnFormula>
    </tableColumn>
    <tableColumn id="9" name="Instalado_x000a_QTD. Ag Líquido" dataDxfId="34"/>
    <tableColumn id="10" name="1.) STATUS CARGA EXTINTORA" dataDxfId="33">
      <calculatedColumnFormula>IF(AZ7="CONFORME","CONFORME ✓","NÃO CONFORME ✗")</calculatedColumnFormula>
    </tableColumn>
    <tableColumn id="11" name="R. sensor motor" dataDxfId="32">
      <calculatedColumnFormula>IF(F7=$Z$2,"",VLOOKUP(F7,'DATASHEET EQUIPAMENTOS'!D:N,4,FALSE))</calculatedColumnFormula>
    </tableColumn>
    <tableColumn id="12" name="Instalado Sensor Motor" dataDxfId="31"/>
    <tableColumn id="13" name="R. sensor transmissao" dataDxfId="30">
      <calculatedColumnFormula>IF(F7=$Z$2,"",VLOOKUP(F7,'DATASHEET EQUIPAMENTOS'!D:N,5,FALSE))</calculatedColumnFormula>
    </tableColumn>
    <tableColumn id="14" name="Instalado Sensor Transmissão" dataDxfId="29"/>
    <tableColumn id="15" name="R. sensor bombas" dataDxfId="28">
      <calculatedColumnFormula>IF(F7=$Z$2,"",VLOOKUP(F7,'DATASHEET EQUIPAMENTOS'!D:N,6,FALSE))</calculatedColumnFormula>
    </tableColumn>
    <tableColumn id="16" name="Instaço sensor Bombas" dataDxfId="27"/>
    <tableColumn id="17" name="2.) Status Sensores Quantidade" dataDxfId="26">
      <calculatedColumnFormula>IF(Tabela2[[#This Row],[Instalado Sensor Motor]]="Linear","CONFORME ✓",IF(SUM(M7,O7,Q7)&lt;SUM(N7,P7,R7),"CONFORME ✓",IF(SUM(M7,O7,Q7)=SUM(N7,P7,R7),"CONFORME ✓","NÃO CONFORME ✗")))</calculatedColumnFormula>
    </tableColumn>
    <tableColumn id="18" name="R. bicos motor" dataDxfId="25">
      <calculatedColumnFormula>IF(F7=$Z$2,"",VLOOKUP(F7,'DATASHEET EQUIPAMENTOS'!D:N,7,FALSE))</calculatedColumnFormula>
    </tableColumn>
    <tableColumn id="19" name="Instalado4" dataDxfId="24"/>
    <tableColumn id="20" name="R. bicos transmissao" dataDxfId="23">
      <calculatedColumnFormula>IF(F7=$Z$2,"",VLOOKUP(F7,'DATASHEET EQUIPAMENTOS'!D:N,8,FALSE))</calculatedColumnFormula>
    </tableColumn>
    <tableColumn id="21" name="Instalado5" dataDxfId="22"/>
    <tableColumn id="22" name="R. bicos bombas" dataDxfId="21">
      <calculatedColumnFormula>IF(F7=$Z$2,"",VLOOKUP(F7,'DATASHEET EQUIPAMENTOS'!D:N,9,FALSE))</calculatedColumnFormula>
    </tableColumn>
    <tableColumn id="23" name="Instalado6" dataDxfId="20"/>
    <tableColumn id="24" name="3.) status Bicos PQS Quantidade" dataDxfId="19">
      <calculatedColumnFormula>IF(SUM(T7,V7,X7)&lt;=SUM(U7,W7,Y7),"CONFORME ✓",IF(SUM(T7,V7,X7)&gt;SUM(U7,W7,Y7),"NÃO CONFORME ✗"))</calculatedColumnFormula>
    </tableColumn>
    <tableColumn id="25" name="R. bicos liquido motor" dataDxfId="18">
      <calculatedColumnFormula>IF(F7=$Z$2,"",VLOOKUP(F7,'DATASHEET EQUIPAMENTOS'!D:N,10,FALSE))</calculatedColumnFormula>
    </tableColumn>
    <tableColumn id="26" name="Instalado7" dataDxfId="17"/>
    <tableColumn id="27" name="R. bicos liquido transmissao" dataDxfId="16">
      <calculatedColumnFormula>IF(F7=$Z$2,"",VLOOKUP(F7,'DATASHEET EQUIPAMENTOS'!D:N,11,FALSE))</calculatedColumnFormula>
    </tableColumn>
    <tableColumn id="28" name="Instalado8" dataDxfId="15"/>
    <tableColumn id="29" name="R. bicos liquido bombas/hridráulico" dataDxfId="14">
      <calculatedColumnFormula>IF(F7=$Z$2,"",VLOOKUP(F7,'DATASHEET EQUIPAMENTOS'!D:O,12,FALSE))</calculatedColumnFormula>
    </tableColumn>
    <tableColumn id="30" name="Instalado9" dataDxfId="13"/>
    <tableColumn id="31" name="4.) Status Bicos Liquido Quantidade" dataDxfId="12">
      <calculatedColumnFormula>IF(SUM(AA7,AC7,AE7)&lt;=SUM(AB7,AD7,AF7),"CONFORME ✓",IF(SUM(AA7,AC7,AE7)&gt;SUM(AB7,AD7,AF7),"NÃO CONFORME ✗"))</calculatedColumnFormula>
    </tableColumn>
    <tableColumn id="32" name="5.)Layout Monitoramento Sensores/Cabo Linear" dataDxfId="11"/>
    <tableColumn id="33" name="6.) Layout Bicos e Mangueiras" dataDxfId="10"/>
    <tableColumn id="34" name="7.)Layout Posicionamento Acionadores e Painel da Cabine" dataDxfId="9"/>
    <tableColumn id="35" name="Observações " dataDxfId="8"/>
    <tableColumn id="36" name="Nota de Prioridade Quantitativa(NOTAS: 1 PIOR NOTA; 5 MELHOR NOTA)" dataDxfId="7">
      <calculatedColumnFormula>IFERROR(CALCULOS!H2,"NECESSÁRIO REVISAR DATASHEET")</calculatedColumnFormula>
    </tableColumn>
    <tableColumn id="41" name="Nota de Prioridade Qualitativa(NOTAS: 1 PIOR NOTA;  5 MELHOR NOTA)" dataDxfId="6">
      <calculatedColumnFormula>IFERROR(AVERAGE(Tabela2[[#This Row],[5.)Layout Monitoramento Sensores/Cabo Linear]],Tabela2[[#This Row],[6.) Layout Bicos e Mangueiras]],Tabela2[[#This Row],[7.)Layout Posicionamento Acionadores e Painel da Cabine]]),"NOTAS QUALITATIVAS NÃO INSERIDAS")</calculatedColumnFormula>
    </tableColumn>
    <tableColumn id="45" name="Status Final Qualitativo e Quantitativo" dataDxfId="5">
      <calculatedColumnFormula>SUM(Tabela2[[#This Row],[Nota de Prioridade Quantitativa(NOTAS: 1 PIOR NOTA; 5 MELHOR NOTA)]],Tabela2[[#This Row],[Nota de Prioridade Qualitativa(NOTAS: 1 PIOR NOTA;  5 MELHOR NOTA)]])</calculatedColumnFormula>
    </tableColumn>
    <tableColumn id="37" name="Relatório" dataDxfId="4"/>
    <tableColumn id="44" name="Coluna1" dataDxfId="3">
      <calculatedColumnFormula>SUM(Tabela2[[#This Row],[Nota de Prioridade Quantitativa(NOTAS: 1 PIOR NOTA; 5 MELHOR NOTA)]],Tabela2[[#This Row],[Nota de Prioridade Qualitativa(NOTAS: 1 PIOR NOTA;  5 MELHOR NOTA)]])</calculatedColumnFormula>
    </tableColumn>
    <tableColumn id="38" name="Observação Interna (Franen)" dataDxfId="2"/>
    <tableColumn id="39" name="calc" dataDxfId="1">
      <calculatedColumnFormula>SUM(Tabela2[[#This Row],[Nota de Prioridade Quantitativa(NOTAS: 1 PIOR NOTA; 5 MELHOR NOTA)]],Tabela2[[#This Row],[Nota de Prioridade Qualitativa(NOTAS: 1 PIOR NOTA;  5 MELHOR NOTA)]])</calculatedColumnFormula>
    </tableColumn>
    <tableColumn id="42" name="Coluna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codeName="Planilha2">
    <outlinePr summaryBelow="1" summaryRight="1"/>
    <pageSetUpPr/>
  </sheetPr>
  <dimension ref="A1:P415"/>
  <sheetViews>
    <sheetView zoomScale="85" zoomScaleNormal="85" workbookViewId="0">
      <pane ySplit="1" topLeftCell="A2" activePane="bottomLeft" state="frozen"/>
      <selection pane="bottomLeft" activeCell="C36" sqref="C36"/>
    </sheetView>
  </sheetViews>
  <sheetFormatPr baseColWidth="8" defaultRowHeight="15"/>
  <cols>
    <col width="11.5703125" bestFit="1" customWidth="1" min="1" max="1"/>
    <col width="9.85546875" customWidth="1" min="2" max="2"/>
    <col width="18" bestFit="1" customWidth="1" min="3" max="3"/>
    <col width="18" bestFit="1" customWidth="1" style="6" min="4" max="4"/>
    <col width="16.140625" bestFit="1" customWidth="1" min="5" max="5"/>
    <col width="14.5703125" bestFit="1" customWidth="1" style="37" min="6" max="6"/>
    <col width="17" customWidth="1" style="21" min="7" max="7"/>
    <col width="22.140625" customWidth="1" style="6" min="8" max="8"/>
    <col width="18.5703125" customWidth="1" style="6" min="9" max="9"/>
    <col width="15.7109375" customWidth="1" style="6" min="10" max="10"/>
    <col width="20.85546875" customWidth="1" style="6" min="11" max="11"/>
    <col width="17.28515625" customWidth="1" style="6" min="12" max="12"/>
    <col width="22.28515625" customWidth="1" style="6" min="13" max="13"/>
    <col width="24.42578125" customWidth="1" style="6" min="14" max="14"/>
    <col width="23.85546875" customWidth="1" min="15" max="15"/>
  </cols>
  <sheetData>
    <row r="1" ht="105" customHeight="1">
      <c r="A1" s="1" t="inlineStr">
        <is>
          <t>Local</t>
        </is>
      </c>
      <c r="B1" s="1" t="inlineStr">
        <is>
          <t>Sistema</t>
        </is>
      </c>
      <c r="C1" s="1" t="inlineStr">
        <is>
          <t>Fabricante</t>
        </is>
      </c>
      <c r="D1" s="27" t="inlineStr">
        <is>
          <t>Modelo</t>
        </is>
      </c>
      <c r="E1" s="28" t="inlineStr">
        <is>
          <t>R. PQS</t>
        </is>
      </c>
      <c r="F1" s="35" t="inlineStr">
        <is>
          <t>R. Liquido</t>
        </is>
      </c>
      <c r="G1" s="39" t="inlineStr">
        <is>
          <t>R. sensor motor</t>
        </is>
      </c>
      <c r="H1" s="40" t="inlineStr">
        <is>
          <t>R. sensor transmissao</t>
        </is>
      </c>
      <c r="I1" s="40" t="inlineStr">
        <is>
          <t>R. sensor bombas</t>
        </is>
      </c>
      <c r="J1" s="40" t="inlineStr">
        <is>
          <t>R. bicos motor</t>
        </is>
      </c>
      <c r="K1" s="40" t="inlineStr">
        <is>
          <t>R. bicos transmissao</t>
        </is>
      </c>
      <c r="L1" s="40" t="inlineStr">
        <is>
          <t>R. bicos bombas</t>
        </is>
      </c>
      <c r="M1" s="40" t="inlineStr">
        <is>
          <t>R. bicos liquido motor</t>
        </is>
      </c>
      <c r="N1" s="40" t="inlineStr">
        <is>
          <t>R. bicos liquido transmissao</t>
        </is>
      </c>
      <c r="O1" s="41" t="inlineStr">
        <is>
          <t>R. bicos liquido bombas</t>
        </is>
      </c>
      <c r="P1" s="53" t="inlineStr">
        <is>
          <t>NFPA EXIGE SISTEMA DUAL? (Acima de 150gal)</t>
        </is>
      </c>
    </row>
    <row r="2">
      <c r="A2" s="4" t="inlineStr">
        <is>
          <t>CAUÊ</t>
        </is>
      </c>
      <c r="B2" s="3" t="inlineStr">
        <is>
          <t>ANSUL</t>
        </is>
      </c>
      <c r="C2" s="4" t="inlineStr">
        <is>
          <t>EPIROC</t>
        </is>
      </c>
      <c r="D2" s="4" t="inlineStr">
        <is>
          <t>Atlas Copco ECM720</t>
        </is>
      </c>
      <c r="E2" s="4" t="inlineStr">
        <is>
          <t>1x60lbs</t>
        </is>
      </c>
      <c r="F2" s="36" t="inlineStr">
        <is>
          <t>1x5gal</t>
        </is>
      </c>
      <c r="G2" s="29" t="n">
        <v>3</v>
      </c>
      <c r="H2" s="4" t="n">
        <v>0</v>
      </c>
      <c r="I2" s="4" t="n">
        <v>1</v>
      </c>
      <c r="J2" s="4" t="n">
        <v>6</v>
      </c>
      <c r="K2" s="4" t="n">
        <v>0</v>
      </c>
      <c r="L2" s="4" t="n">
        <v>6</v>
      </c>
      <c r="M2" s="4" t="n">
        <v>2</v>
      </c>
      <c r="N2" s="4" t="n">
        <v>0</v>
      </c>
      <c r="O2" s="3" t="n"/>
      <c r="P2" s="52" t="n"/>
    </row>
    <row r="3">
      <c r="A3" s="4" t="n"/>
      <c r="B3" s="3" t="inlineStr">
        <is>
          <t>DAFO</t>
        </is>
      </c>
      <c r="C3" s="4" t="inlineStr">
        <is>
          <t>KOMATSU</t>
        </is>
      </c>
      <c r="D3" s="4" t="inlineStr">
        <is>
          <t>Bobcat E26GM</t>
        </is>
      </c>
      <c r="E3" s="4" t="inlineStr">
        <is>
          <t>1x20lbs</t>
        </is>
      </c>
      <c r="F3" s="36" t="n">
        <v>0</v>
      </c>
      <c r="G3" s="29" t="n">
        <v>2</v>
      </c>
      <c r="H3" s="4" t="n">
        <v>0</v>
      </c>
      <c r="I3" s="4" t="n">
        <v>0</v>
      </c>
      <c r="J3" s="4" t="n">
        <v>3</v>
      </c>
      <c r="K3" s="4" t="n">
        <v>0</v>
      </c>
      <c r="L3" s="4" t="n">
        <v>0</v>
      </c>
      <c r="M3" s="4" t="n">
        <v>0</v>
      </c>
      <c r="N3" s="4" t="n">
        <v>0</v>
      </c>
      <c r="O3" s="3" t="n"/>
      <c r="P3" s="4" t="n"/>
    </row>
    <row r="4">
      <c r="A4" s="4" t="n"/>
      <c r="B4" s="3" t="inlineStr">
        <is>
          <t>FIKE</t>
        </is>
      </c>
      <c r="C4" s="4" t="inlineStr">
        <is>
          <t>LETOURNEAU</t>
        </is>
      </c>
      <c r="D4" s="4" t="inlineStr">
        <is>
          <t>CAT 12H</t>
        </is>
      </c>
      <c r="E4" s="4" t="inlineStr">
        <is>
          <t>1x30lbs</t>
        </is>
      </c>
      <c r="F4" s="36" t="inlineStr">
        <is>
          <t>1x5gal</t>
        </is>
      </c>
      <c r="G4" s="29" t="n">
        <v>3</v>
      </c>
      <c r="H4" s="4" t="n">
        <v>1</v>
      </c>
      <c r="I4" s="4" t="n">
        <v>0</v>
      </c>
      <c r="J4" s="4" t="n">
        <v>3</v>
      </c>
      <c r="K4" s="4" t="n">
        <v>3</v>
      </c>
      <c r="L4" s="4" t="n">
        <v>0</v>
      </c>
      <c r="M4" s="4" t="n">
        <v>2</v>
      </c>
      <c r="N4" s="4" t="n">
        <v>0</v>
      </c>
      <c r="O4" s="3" t="n"/>
      <c r="P4" s="4" t="n"/>
    </row>
    <row r="5">
      <c r="A5" s="4" t="n"/>
      <c r="B5" s="3" t="inlineStr">
        <is>
          <t>KIDDE</t>
        </is>
      </c>
      <c r="C5" s="7" t="inlineStr">
        <is>
          <t>MANITOU</t>
        </is>
      </c>
      <c r="D5" s="4" t="inlineStr">
        <is>
          <t>CAT 140M</t>
        </is>
      </c>
      <c r="E5" s="4" t="inlineStr">
        <is>
          <t>1x30lbs</t>
        </is>
      </c>
      <c r="F5" s="36" t="inlineStr">
        <is>
          <t>1x5gal</t>
        </is>
      </c>
      <c r="G5" s="29" t="n">
        <v>3</v>
      </c>
      <c r="H5" s="4" t="n">
        <v>1</v>
      </c>
      <c r="I5" s="4" t="n">
        <v>0</v>
      </c>
      <c r="J5" s="4" t="n">
        <v>3</v>
      </c>
      <c r="K5" s="4" t="n">
        <v>1</v>
      </c>
      <c r="L5" s="4" t="n">
        <v>1</v>
      </c>
      <c r="M5" s="4" t="n">
        <v>2</v>
      </c>
      <c r="N5" s="4" t="n">
        <v>0</v>
      </c>
      <c r="O5" s="3" t="n"/>
      <c r="P5" s="4" t="n"/>
    </row>
    <row r="6">
      <c r="A6" s="4" t="n"/>
      <c r="B6" s="3" t="inlineStr">
        <is>
          <t>SEIVE</t>
        </is>
      </c>
      <c r="C6" s="7" t="inlineStr">
        <is>
          <t>SANY</t>
        </is>
      </c>
      <c r="D6" s="4" t="inlineStr">
        <is>
          <t>CAT 16</t>
        </is>
      </c>
      <c r="E6" s="4" t="inlineStr">
        <is>
          <t>1x60lbs</t>
        </is>
      </c>
      <c r="F6" s="36" t="inlineStr">
        <is>
          <t>1x5gal</t>
        </is>
      </c>
      <c r="G6" s="29" t="n">
        <v>3</v>
      </c>
      <c r="H6" s="4" t="n">
        <v>1</v>
      </c>
      <c r="I6" s="4" t="n">
        <v>1</v>
      </c>
      <c r="J6" s="4" t="n">
        <v>6</v>
      </c>
      <c r="K6" s="4" t="n">
        <v>3</v>
      </c>
      <c r="L6" s="4" t="n">
        <v>3</v>
      </c>
      <c r="M6" s="4" t="n">
        <v>2</v>
      </c>
      <c r="N6" s="4" t="n">
        <v>0</v>
      </c>
      <c r="O6" s="3" t="n"/>
      <c r="P6" s="4" t="n"/>
    </row>
    <row r="7">
      <c r="A7" s="4" t="n"/>
      <c r="B7" s="8" t="n"/>
      <c r="C7" s="4" t="inlineStr">
        <is>
          <t>XCMG</t>
        </is>
      </c>
      <c r="D7" s="4" t="inlineStr">
        <is>
          <t>CAT 16M</t>
        </is>
      </c>
      <c r="E7" s="4" t="inlineStr">
        <is>
          <t>1x60lbs</t>
        </is>
      </c>
      <c r="F7" s="36" t="inlineStr">
        <is>
          <t>1x5gal</t>
        </is>
      </c>
      <c r="G7" s="29" t="n">
        <v>3</v>
      </c>
      <c r="H7" s="4" t="n">
        <v>1</v>
      </c>
      <c r="I7" s="4" t="n">
        <v>1</v>
      </c>
      <c r="J7" s="4" t="n">
        <v>6</v>
      </c>
      <c r="K7" s="4" t="n">
        <v>3</v>
      </c>
      <c r="L7" s="4" t="n">
        <v>3</v>
      </c>
      <c r="M7" s="4" t="n">
        <v>2</v>
      </c>
      <c r="N7" s="4" t="n">
        <v>0</v>
      </c>
      <c r="O7" s="3" t="n"/>
      <c r="P7" s="4" t="n"/>
    </row>
    <row r="8">
      <c r="A8" s="4" t="n"/>
      <c r="B8" s="8" t="n"/>
      <c r="C8" s="5" t="inlineStr">
        <is>
          <t>SEM INFORMAÇÕES</t>
        </is>
      </c>
      <c r="D8" s="4" t="inlineStr">
        <is>
          <t>CAT 18</t>
        </is>
      </c>
      <c r="E8" s="4" t="inlineStr">
        <is>
          <t>1x60lbs</t>
        </is>
      </c>
      <c r="F8" s="36" t="inlineStr">
        <is>
          <t>1x5gal</t>
        </is>
      </c>
      <c r="G8" s="29" t="n">
        <v>3</v>
      </c>
      <c r="H8" s="4" t="n">
        <v>1</v>
      </c>
      <c r="I8" s="4" t="n">
        <v>1</v>
      </c>
      <c r="J8" s="4" t="n">
        <v>6</v>
      </c>
      <c r="K8" s="4" t="n">
        <v>3</v>
      </c>
      <c r="L8" s="4" t="n">
        <v>3</v>
      </c>
      <c r="M8" s="4" t="n">
        <v>2</v>
      </c>
      <c r="N8" s="4" t="n">
        <v>0</v>
      </c>
      <c r="O8" s="3" t="n"/>
      <c r="P8" s="4" t="n"/>
    </row>
    <row r="9">
      <c r="A9" s="2" t="n"/>
      <c r="C9" s="2" t="n"/>
      <c r="D9" s="4" t="inlineStr">
        <is>
          <t>CAT 18H</t>
        </is>
      </c>
      <c r="E9" s="4" t="inlineStr">
        <is>
          <t>1x60lbs</t>
        </is>
      </c>
      <c r="F9" s="36" t="inlineStr">
        <is>
          <t>1x5gal</t>
        </is>
      </c>
      <c r="G9" s="29" t="n">
        <v>3</v>
      </c>
      <c r="H9" s="4" t="n">
        <v>1</v>
      </c>
      <c r="I9" s="4" t="n">
        <v>1</v>
      </c>
      <c r="J9" s="4" t="n">
        <v>6</v>
      </c>
      <c r="K9" s="4" t="n">
        <v>3</v>
      </c>
      <c r="L9" s="4" t="n">
        <v>3</v>
      </c>
      <c r="M9" s="4" t="n">
        <v>2</v>
      </c>
      <c r="N9" s="4" t="n">
        <v>0</v>
      </c>
      <c r="O9" s="3" t="n"/>
      <c r="P9" s="4" t="n"/>
    </row>
    <row r="10">
      <c r="A10" s="2" t="n"/>
      <c r="C10" s="2" t="n"/>
      <c r="D10" s="4" t="inlineStr">
        <is>
          <t>CAT 226B</t>
        </is>
      </c>
      <c r="E10" s="4" t="inlineStr">
        <is>
          <t>1x20lbs</t>
        </is>
      </c>
      <c r="F10" s="36" t="n">
        <v>0</v>
      </c>
      <c r="G10" s="29" t="n">
        <v>2</v>
      </c>
      <c r="H10" s="4" t="n">
        <v>0</v>
      </c>
      <c r="I10" s="4" t="n">
        <v>0</v>
      </c>
      <c r="J10" s="4" t="n">
        <v>3</v>
      </c>
      <c r="K10" s="4" t="n">
        <v>0</v>
      </c>
      <c r="L10" s="4" t="n">
        <v>0</v>
      </c>
      <c r="M10" s="4" t="n">
        <v>0</v>
      </c>
      <c r="N10" s="4" t="n">
        <v>0</v>
      </c>
      <c r="O10" s="3" t="n"/>
      <c r="P10" s="4" t="n"/>
    </row>
    <row r="11">
      <c r="A11" s="2" t="n"/>
      <c r="D11" s="4" t="inlineStr">
        <is>
          <t>CAT 313D</t>
        </is>
      </c>
      <c r="E11" s="4" t="inlineStr">
        <is>
          <t>1x30lbs</t>
        </is>
      </c>
      <c r="F11" s="36" t="n">
        <v>0</v>
      </c>
      <c r="G11" s="29" t="n">
        <v>2</v>
      </c>
      <c r="H11" s="4" t="n">
        <v>0</v>
      </c>
      <c r="I11" s="4" t="n">
        <v>1</v>
      </c>
      <c r="J11" s="4" t="n">
        <v>4</v>
      </c>
      <c r="K11" s="4" t="n">
        <v>0</v>
      </c>
      <c r="L11" s="4" t="n">
        <v>2</v>
      </c>
      <c r="M11" s="4" t="n">
        <v>0</v>
      </c>
      <c r="N11" s="4" t="n">
        <v>0</v>
      </c>
      <c r="O11" s="3" t="n"/>
      <c r="P11" s="4" t="n"/>
    </row>
    <row r="12">
      <c r="A12" s="2" t="n"/>
      <c r="D12" s="4" t="inlineStr">
        <is>
          <t>CAT 323D</t>
        </is>
      </c>
      <c r="E12" s="4" t="inlineStr">
        <is>
          <t>1x60lbs</t>
        </is>
      </c>
      <c r="F12" s="36" t="inlineStr">
        <is>
          <t>1x5gal</t>
        </is>
      </c>
      <c r="G12" s="29" t="n">
        <v>3</v>
      </c>
      <c r="H12" s="4" t="n">
        <v>0</v>
      </c>
      <c r="I12" s="4" t="n">
        <v>1</v>
      </c>
      <c r="J12" s="4" t="n">
        <v>6</v>
      </c>
      <c r="K12" s="4" t="n">
        <v>0</v>
      </c>
      <c r="L12" s="4" t="n">
        <v>3</v>
      </c>
      <c r="M12" s="4" t="n">
        <v>2</v>
      </c>
      <c r="N12" s="4" t="n">
        <v>0</v>
      </c>
      <c r="O12" s="3" t="n"/>
      <c r="P12" s="4" t="n"/>
    </row>
    <row r="13">
      <c r="A13" s="2" t="n"/>
      <c r="D13" s="4" t="inlineStr">
        <is>
          <t>CAT 336</t>
        </is>
      </c>
      <c r="E13" s="4" t="inlineStr">
        <is>
          <t>1x60lbs</t>
        </is>
      </c>
      <c r="F13" s="36" t="inlineStr">
        <is>
          <t>1x5gal</t>
        </is>
      </c>
      <c r="G13" s="29" t="n">
        <v>3</v>
      </c>
      <c r="H13" s="4" t="n">
        <v>0</v>
      </c>
      <c r="I13" s="4" t="n">
        <v>1</v>
      </c>
      <c r="J13" s="4" t="n">
        <v>6</v>
      </c>
      <c r="K13" s="4" t="n">
        <v>0</v>
      </c>
      <c r="L13" s="4" t="n">
        <v>3</v>
      </c>
      <c r="M13" s="4" t="n">
        <v>2</v>
      </c>
      <c r="N13" s="4" t="n">
        <v>0</v>
      </c>
      <c r="O13" s="3" t="n"/>
      <c r="P13" s="4" t="n"/>
    </row>
    <row r="14">
      <c r="A14" s="2" t="n"/>
      <c r="D14" s="4" t="inlineStr">
        <is>
          <t>CAT 365</t>
        </is>
      </c>
      <c r="E14" s="4" t="inlineStr">
        <is>
          <t>1x60lbs + 1x30lbs</t>
        </is>
      </c>
      <c r="F14" s="36" t="inlineStr">
        <is>
          <t>1x5gal</t>
        </is>
      </c>
      <c r="G14" s="29" t="n">
        <v>4</v>
      </c>
      <c r="H14" s="4" t="n">
        <v>2</v>
      </c>
      <c r="I14" s="4" t="n">
        <v>1</v>
      </c>
      <c r="J14" s="4" t="n">
        <v>8</v>
      </c>
      <c r="K14" s="4" t="n">
        <v>4</v>
      </c>
      <c r="L14" s="4" t="n">
        <v>4</v>
      </c>
      <c r="M14" s="4" t="n">
        <v>2</v>
      </c>
      <c r="N14" s="4" t="n">
        <v>0</v>
      </c>
      <c r="O14" s="3" t="n"/>
      <c r="P14" s="4" t="inlineStr">
        <is>
          <t>Não</t>
        </is>
      </c>
    </row>
    <row r="15">
      <c r="D15" s="4" t="inlineStr">
        <is>
          <t>CAT 365C</t>
        </is>
      </c>
      <c r="E15" s="4" t="inlineStr">
        <is>
          <t>1x60lbs + 1x30lbs</t>
        </is>
      </c>
      <c r="F15" s="36" t="inlineStr">
        <is>
          <t>1x5gal</t>
        </is>
      </c>
      <c r="G15" s="29" t="n">
        <v>4</v>
      </c>
      <c r="H15" s="4" t="n">
        <v>2</v>
      </c>
      <c r="I15" s="4" t="n">
        <v>1</v>
      </c>
      <c r="J15" s="4" t="n">
        <v>8</v>
      </c>
      <c r="K15" s="4" t="n">
        <v>4</v>
      </c>
      <c r="L15" s="4" t="n">
        <v>4</v>
      </c>
      <c r="M15" s="4" t="n">
        <v>2</v>
      </c>
      <c r="N15" s="4" t="n">
        <v>0</v>
      </c>
      <c r="O15" s="3" t="n"/>
      <c r="P15" s="4" t="inlineStr">
        <is>
          <t>Não</t>
        </is>
      </c>
    </row>
    <row r="16">
      <c r="D16" s="4" t="inlineStr">
        <is>
          <t>CAT 390</t>
        </is>
      </c>
      <c r="E16" s="4" t="inlineStr">
        <is>
          <t>1x60lbs + 1x30lbs</t>
        </is>
      </c>
      <c r="F16" s="36" t="inlineStr">
        <is>
          <t>1x5gal</t>
        </is>
      </c>
      <c r="G16" s="29" t="n">
        <v>4</v>
      </c>
      <c r="H16" s="4" t="n">
        <v>2</v>
      </c>
      <c r="I16" s="4" t="n">
        <v>1</v>
      </c>
      <c r="J16" s="4" t="n">
        <v>9</v>
      </c>
      <c r="K16" s="4" t="n">
        <v>6</v>
      </c>
      <c r="L16" s="4" t="n">
        <v>3</v>
      </c>
      <c r="M16" s="4" t="n">
        <v>2</v>
      </c>
      <c r="N16" s="4" t="n">
        <v>0</v>
      </c>
      <c r="O16" s="3" t="n"/>
      <c r="P16" s="4" t="n"/>
    </row>
    <row r="17">
      <c r="D17" s="4" t="inlineStr">
        <is>
          <t>CAT 416E</t>
        </is>
      </c>
      <c r="E17" s="4" t="inlineStr">
        <is>
          <t>1x30lbs</t>
        </is>
      </c>
      <c r="F17" s="36" t="n">
        <v>0</v>
      </c>
      <c r="G17" s="29" t="n">
        <v>2</v>
      </c>
      <c r="H17" s="4" t="n">
        <v>0</v>
      </c>
      <c r="I17" s="4" t="n">
        <v>0</v>
      </c>
      <c r="J17" s="4" t="n">
        <v>3</v>
      </c>
      <c r="K17" s="4" t="n">
        <v>0</v>
      </c>
      <c r="L17" s="4" t="n">
        <v>0</v>
      </c>
      <c r="M17" s="4" t="n">
        <v>0</v>
      </c>
      <c r="N17" s="4" t="n">
        <v>0</v>
      </c>
      <c r="O17" s="3" t="n"/>
      <c r="P17" s="4" t="n"/>
    </row>
    <row r="18">
      <c r="D18" s="4" t="inlineStr">
        <is>
          <t>CAT 7295</t>
        </is>
      </c>
      <c r="E18" s="4" t="inlineStr">
        <is>
          <t>3x60lbs</t>
        </is>
      </c>
      <c r="F18" s="36" t="inlineStr">
        <is>
          <t>2x5gal</t>
        </is>
      </c>
      <c r="G18" s="29" t="n">
        <v>5</v>
      </c>
      <c r="H18" s="4" t="n">
        <v>2</v>
      </c>
      <c r="I18" s="4" t="n">
        <v>2</v>
      </c>
      <c r="J18" s="4" t="n">
        <v>24</v>
      </c>
      <c r="K18" s="4" t="n">
        <v>6</v>
      </c>
      <c r="L18" s="4" t="e">
        <v>#N/A</v>
      </c>
      <c r="M18" s="4" t="e">
        <v>#N/A</v>
      </c>
      <c r="N18" s="4" t="e">
        <v>#N/A</v>
      </c>
      <c r="O18" s="3" t="n"/>
      <c r="P18" s="4" t="n"/>
    </row>
    <row r="19">
      <c r="D19" s="4" t="inlineStr">
        <is>
          <t>CAT 775</t>
        </is>
      </c>
      <c r="E19" s="4" t="inlineStr">
        <is>
          <t>1x60lbs</t>
        </is>
      </c>
      <c r="F19" s="36" t="inlineStr">
        <is>
          <t>1x5gal</t>
        </is>
      </c>
      <c r="G19" s="29" t="n">
        <v>3</v>
      </c>
      <c r="H19" s="4" t="n">
        <v>1</v>
      </c>
      <c r="I19" s="4" t="n">
        <v>1</v>
      </c>
      <c r="J19" s="4" t="n">
        <v>6</v>
      </c>
      <c r="K19" s="4" t="n">
        <v>3</v>
      </c>
      <c r="L19" s="4" t="n">
        <v>3</v>
      </c>
      <c r="M19" s="4" t="n">
        <v>2</v>
      </c>
      <c r="N19" s="4" t="n">
        <v>0</v>
      </c>
      <c r="O19" s="3" t="n"/>
      <c r="P19" s="4" t="n"/>
    </row>
    <row r="20">
      <c r="D20" s="4" t="inlineStr">
        <is>
          <t>CAT 775F</t>
        </is>
      </c>
      <c r="E20" s="4" t="inlineStr">
        <is>
          <t>1x60lbs</t>
        </is>
      </c>
      <c r="F20" s="36" t="inlineStr">
        <is>
          <t>1x5gal</t>
        </is>
      </c>
      <c r="G20" s="29" t="n">
        <v>3</v>
      </c>
      <c r="H20" s="4" t="n">
        <v>1</v>
      </c>
      <c r="I20" s="4" t="n">
        <v>1</v>
      </c>
      <c r="J20" s="4" t="n">
        <v>6</v>
      </c>
      <c r="K20" s="4" t="n">
        <v>3</v>
      </c>
      <c r="L20" s="4" t="n">
        <v>3</v>
      </c>
      <c r="M20" s="4" t="n">
        <v>2</v>
      </c>
      <c r="N20" s="4" t="n">
        <v>0</v>
      </c>
      <c r="O20" s="3" t="n"/>
      <c r="P20" s="4" t="n"/>
    </row>
    <row r="21">
      <c r="D21" s="4" t="inlineStr">
        <is>
          <t>CAT 775G</t>
        </is>
      </c>
      <c r="E21" s="4" t="inlineStr">
        <is>
          <t>1x60lbs</t>
        </is>
      </c>
      <c r="F21" s="36" t="inlineStr">
        <is>
          <t>1x5gal</t>
        </is>
      </c>
      <c r="G21" s="29" t="n">
        <v>3</v>
      </c>
      <c r="H21" s="4" t="n">
        <v>1</v>
      </c>
      <c r="I21" s="4" t="n">
        <v>1</v>
      </c>
      <c r="J21" s="4" t="n">
        <v>6</v>
      </c>
      <c r="K21" s="4" t="n">
        <v>3</v>
      </c>
      <c r="L21" s="4" t="n">
        <v>3</v>
      </c>
      <c r="M21" s="4" t="n">
        <v>2</v>
      </c>
      <c r="N21" s="4" t="n">
        <v>0</v>
      </c>
      <c r="O21" s="3" t="n"/>
      <c r="P21" s="4" t="n"/>
    </row>
    <row r="22">
      <c r="D22" s="4" t="inlineStr">
        <is>
          <t>CAT 777</t>
        </is>
      </c>
      <c r="E22" s="4" t="inlineStr">
        <is>
          <t>1x60lbs + 1x30lbs</t>
        </is>
      </c>
      <c r="F22" s="36" t="inlineStr">
        <is>
          <t>1x5gal</t>
        </is>
      </c>
      <c r="G22" s="29" t="n">
        <v>4</v>
      </c>
      <c r="H22" s="4" t="n">
        <v>2</v>
      </c>
      <c r="I22" s="4" t="n">
        <v>1</v>
      </c>
      <c r="J22" s="4" t="n">
        <v>12</v>
      </c>
      <c r="K22" s="4" t="n">
        <v>3</v>
      </c>
      <c r="L22" s="4" t="n">
        <v>3</v>
      </c>
      <c r="M22" s="4" t="n">
        <v>4</v>
      </c>
      <c r="N22" s="4" t="n">
        <v>0</v>
      </c>
      <c r="O22" s="3" t="n"/>
      <c r="P22" s="4" t="inlineStr">
        <is>
          <t>Não</t>
        </is>
      </c>
    </row>
    <row r="23">
      <c r="D23" s="4" t="inlineStr">
        <is>
          <t>CAT 777G</t>
        </is>
      </c>
      <c r="E23" s="4" t="inlineStr">
        <is>
          <t>1x60lbs + 1x30lbs</t>
        </is>
      </c>
      <c r="F23" s="36" t="inlineStr">
        <is>
          <t>1x5gal</t>
        </is>
      </c>
      <c r="G23" s="29" t="n">
        <v>4</v>
      </c>
      <c r="H23" s="4" t="n">
        <v>2</v>
      </c>
      <c r="I23" s="4" t="n">
        <v>1</v>
      </c>
      <c r="J23" s="4" t="n">
        <v>12</v>
      </c>
      <c r="K23" s="4" t="n">
        <v>3</v>
      </c>
      <c r="L23" s="4" t="n">
        <v>3</v>
      </c>
      <c r="M23" s="4" t="n">
        <v>4</v>
      </c>
      <c r="N23" s="4" t="n">
        <v>0</v>
      </c>
      <c r="O23" s="3" t="n"/>
      <c r="P23" s="4" t="inlineStr">
        <is>
          <t>Não</t>
        </is>
      </c>
    </row>
    <row r="24">
      <c r="D24" s="4" t="inlineStr">
        <is>
          <t>CAT 785</t>
        </is>
      </c>
      <c r="E24" s="4" t="inlineStr">
        <is>
          <t>1x60lbs + 1x30lbs</t>
        </is>
      </c>
      <c r="F24" s="36" t="inlineStr">
        <is>
          <t>1x5gal</t>
        </is>
      </c>
      <c r="G24" s="29" t="n">
        <v>4</v>
      </c>
      <c r="H24" s="4" t="n">
        <v>2</v>
      </c>
      <c r="I24" s="4" t="n">
        <v>1</v>
      </c>
      <c r="J24" s="4" t="n">
        <v>12</v>
      </c>
      <c r="K24" s="4" t="n">
        <v>3</v>
      </c>
      <c r="L24" s="4" t="n">
        <v>3</v>
      </c>
      <c r="M24" s="4" t="n">
        <v>4</v>
      </c>
      <c r="N24" s="4" t="n">
        <v>0</v>
      </c>
      <c r="O24" s="3" t="n"/>
      <c r="P24" s="4" t="inlineStr">
        <is>
          <t>Não</t>
        </is>
      </c>
    </row>
    <row r="25">
      <c r="D25" s="4" t="inlineStr">
        <is>
          <t>CAT 785C</t>
        </is>
      </c>
      <c r="E25" s="4" t="inlineStr">
        <is>
          <t>1x60lbs + 1x30lbs</t>
        </is>
      </c>
      <c r="F25" s="36" t="inlineStr">
        <is>
          <t>1x5gal</t>
        </is>
      </c>
      <c r="G25" s="29" t="n">
        <v>4</v>
      </c>
      <c r="H25" s="4" t="n">
        <v>2</v>
      </c>
      <c r="I25" s="4" t="n">
        <v>1</v>
      </c>
      <c r="J25" s="4" t="n">
        <v>12</v>
      </c>
      <c r="K25" s="4" t="n">
        <v>3</v>
      </c>
      <c r="L25" s="4" t="n">
        <v>3</v>
      </c>
      <c r="M25" s="4" t="n">
        <v>4</v>
      </c>
      <c r="N25" s="4" t="n">
        <v>0</v>
      </c>
      <c r="O25" s="3" t="n"/>
      <c r="P25" s="4" t="inlineStr">
        <is>
          <t>Não</t>
        </is>
      </c>
    </row>
    <row r="26">
      <c r="D26" s="4" t="inlineStr">
        <is>
          <t>CAT 785D</t>
        </is>
      </c>
      <c r="E26" s="4" t="inlineStr">
        <is>
          <t>1x60lbs + 1x30lbs</t>
        </is>
      </c>
      <c r="F26" s="36" t="inlineStr">
        <is>
          <t>1x5gal</t>
        </is>
      </c>
      <c r="G26" s="29" t="n">
        <v>4</v>
      </c>
      <c r="H26" s="4" t="n">
        <v>2</v>
      </c>
      <c r="I26" s="4" t="n">
        <v>1</v>
      </c>
      <c r="J26" s="4" t="n">
        <v>12</v>
      </c>
      <c r="K26" s="4" t="n">
        <v>3</v>
      </c>
      <c r="L26" s="4" t="n">
        <v>3</v>
      </c>
      <c r="M26" s="4" t="n">
        <v>4</v>
      </c>
      <c r="N26" s="4" t="n">
        <v>0</v>
      </c>
      <c r="O26" s="3" t="n"/>
      <c r="P26" s="4" t="inlineStr">
        <is>
          <t>Não</t>
        </is>
      </c>
    </row>
    <row r="27">
      <c r="D27" s="4" t="inlineStr">
        <is>
          <t>CAT 789</t>
        </is>
      </c>
      <c r="E27" s="4" t="inlineStr">
        <is>
          <t>2x60lbs</t>
        </is>
      </c>
      <c r="F27" s="36" t="inlineStr">
        <is>
          <t>2x5gal</t>
        </is>
      </c>
      <c r="G27" s="29" t="n">
        <v>4</v>
      </c>
      <c r="H27" s="4" t="n">
        <v>2</v>
      </c>
      <c r="I27" s="4" t="n">
        <v>2</v>
      </c>
      <c r="J27" s="4" t="n">
        <v>12</v>
      </c>
      <c r="K27" s="4" t="n">
        <v>3</v>
      </c>
      <c r="L27" s="4" t="n">
        <v>3</v>
      </c>
      <c r="M27" s="4" t="n">
        <v>4</v>
      </c>
      <c r="N27" s="4" t="n">
        <v>0</v>
      </c>
      <c r="O27" s="3" t="n"/>
      <c r="P27" s="4" t="n"/>
    </row>
    <row r="28">
      <c r="D28" s="4" t="inlineStr">
        <is>
          <t>CAT 789D</t>
        </is>
      </c>
      <c r="E28" s="4" t="inlineStr">
        <is>
          <t>2x60lbs</t>
        </is>
      </c>
      <c r="F28" s="36" t="inlineStr">
        <is>
          <t>2x5gal</t>
        </is>
      </c>
      <c r="G28" s="29" t="n">
        <v>4</v>
      </c>
      <c r="H28" s="4" t="n">
        <v>2</v>
      </c>
      <c r="I28" s="4" t="n">
        <v>2</v>
      </c>
      <c r="J28" s="4" t="n">
        <v>12</v>
      </c>
      <c r="K28" s="4" t="n">
        <v>3</v>
      </c>
      <c r="L28" s="4" t="n">
        <v>3</v>
      </c>
      <c r="M28" s="4" t="n">
        <v>4</v>
      </c>
      <c r="N28" s="4" t="n">
        <v>0</v>
      </c>
      <c r="O28" s="3" t="n"/>
      <c r="P28" s="4" t="n"/>
    </row>
    <row r="29">
      <c r="D29" s="4" t="inlineStr">
        <is>
          <t>CAT 793</t>
        </is>
      </c>
      <c r="E29" s="4" t="inlineStr">
        <is>
          <t>2x60lbs</t>
        </is>
      </c>
      <c r="F29" s="36" t="inlineStr">
        <is>
          <t>2x5gal</t>
        </is>
      </c>
      <c r="G29" s="29" t="n">
        <v>4</v>
      </c>
      <c r="H29" s="4" t="n">
        <v>2</v>
      </c>
      <c r="I29" s="4" t="n">
        <v>2</v>
      </c>
      <c r="J29" s="4" t="n">
        <v>12</v>
      </c>
      <c r="K29" s="4" t="n">
        <v>3</v>
      </c>
      <c r="L29" s="4" t="n">
        <v>3</v>
      </c>
      <c r="M29" s="4" t="n">
        <v>6</v>
      </c>
      <c r="N29" s="4" t="n">
        <v>0</v>
      </c>
      <c r="O29" s="3" t="n"/>
      <c r="P29" s="4" t="n"/>
    </row>
    <row r="30">
      <c r="D30" s="4" t="inlineStr">
        <is>
          <t>CAT 793C</t>
        </is>
      </c>
      <c r="E30" s="4" t="inlineStr">
        <is>
          <t>2x60lbs</t>
        </is>
      </c>
      <c r="F30" s="36" t="inlineStr">
        <is>
          <t>2x5gal</t>
        </is>
      </c>
      <c r="G30" s="29" t="n">
        <v>4</v>
      </c>
      <c r="H30" s="4" t="n">
        <v>2</v>
      </c>
      <c r="I30" s="4" t="n">
        <v>2</v>
      </c>
      <c r="J30" s="4" t="n">
        <v>10</v>
      </c>
      <c r="K30" s="4" t="n">
        <v>3</v>
      </c>
      <c r="L30" s="4" t="n">
        <v>2</v>
      </c>
      <c r="M30" s="4" t="n">
        <v>4</v>
      </c>
      <c r="N30" s="4" t="n">
        <v>0</v>
      </c>
      <c r="O30" s="3" t="n"/>
      <c r="P30" s="4" t="n"/>
    </row>
    <row r="31">
      <c r="D31" s="4" t="inlineStr">
        <is>
          <t>CAT 793D</t>
        </is>
      </c>
      <c r="E31" s="4" t="inlineStr">
        <is>
          <t>2x60lbs</t>
        </is>
      </c>
      <c r="F31" s="36" t="inlineStr">
        <is>
          <t>2x5gal</t>
        </is>
      </c>
      <c r="G31" s="29" t="n">
        <v>4</v>
      </c>
      <c r="H31" s="4" t="n">
        <v>2</v>
      </c>
      <c r="I31" s="4" t="n">
        <v>2</v>
      </c>
      <c r="J31" s="4" t="n">
        <v>10</v>
      </c>
      <c r="K31" s="4" t="n">
        <v>3</v>
      </c>
      <c r="L31" s="4" t="n">
        <v>2</v>
      </c>
      <c r="M31" s="4" t="n">
        <v>4</v>
      </c>
      <c r="N31" s="4" t="n">
        <v>0</v>
      </c>
      <c r="O31" s="3" t="n"/>
      <c r="P31" s="4" t="n"/>
    </row>
    <row r="32">
      <c r="D32" s="4" t="inlineStr">
        <is>
          <t>CAT 793E</t>
        </is>
      </c>
      <c r="E32" s="4" t="inlineStr">
        <is>
          <t>2x60lbs</t>
        </is>
      </c>
      <c r="F32" s="36" t="inlineStr">
        <is>
          <t>2x5gal</t>
        </is>
      </c>
      <c r="G32" s="29" t="n">
        <v>4</v>
      </c>
      <c r="H32" s="4" t="n">
        <v>2</v>
      </c>
      <c r="I32" s="4" t="n">
        <v>2</v>
      </c>
      <c r="J32" s="4" t="n">
        <v>10</v>
      </c>
      <c r="K32" s="4" t="n">
        <v>3</v>
      </c>
      <c r="L32" s="4" t="n">
        <v>2</v>
      </c>
      <c r="M32" s="4" t="n">
        <v>4</v>
      </c>
      <c r="N32" s="4" t="n">
        <v>0</v>
      </c>
      <c r="O32" s="3" t="n"/>
      <c r="P32" s="4" t="n"/>
    </row>
    <row r="33">
      <c r="D33" s="4" t="inlineStr">
        <is>
          <t>CAT 793F</t>
        </is>
      </c>
      <c r="E33" s="4" t="inlineStr">
        <is>
          <t>2x60lbs</t>
        </is>
      </c>
      <c r="F33" s="36" t="inlineStr">
        <is>
          <t>2x5gal</t>
        </is>
      </c>
      <c r="G33" s="29" t="n">
        <v>4</v>
      </c>
      <c r="H33" s="4" t="n">
        <v>2</v>
      </c>
      <c r="I33" s="4" t="n">
        <v>2</v>
      </c>
      <c r="J33" s="4" t="n">
        <v>10</v>
      </c>
      <c r="K33" s="4" t="n">
        <v>3</v>
      </c>
      <c r="L33" s="4" t="n">
        <v>2</v>
      </c>
      <c r="M33" s="4" t="n">
        <v>4</v>
      </c>
      <c r="N33" s="4" t="n">
        <v>0</v>
      </c>
      <c r="O33" s="3" t="n"/>
      <c r="P33" s="4" t="n"/>
    </row>
    <row r="34">
      <c r="D34" s="4" t="inlineStr">
        <is>
          <t>CAT 824H</t>
        </is>
      </c>
      <c r="E34" s="4" t="inlineStr">
        <is>
          <t xml:space="preserve">1x60lbs </t>
        </is>
      </c>
      <c r="F34" s="36" t="inlineStr">
        <is>
          <t>1x5gal</t>
        </is>
      </c>
      <c r="G34" s="29" t="n">
        <v>3</v>
      </c>
      <c r="H34" s="4" t="n">
        <v>2</v>
      </c>
      <c r="I34" s="4" t="n">
        <v>1</v>
      </c>
      <c r="J34" s="4" t="n">
        <v>6</v>
      </c>
      <c r="K34" s="4" t="n">
        <v>3</v>
      </c>
      <c r="L34" s="4" t="n">
        <v>3</v>
      </c>
      <c r="M34" s="4" t="n">
        <v>2</v>
      </c>
      <c r="N34" s="4" t="n">
        <v>0</v>
      </c>
      <c r="O34" s="3" t="n"/>
      <c r="P34" s="4" t="n"/>
    </row>
    <row r="35">
      <c r="D35" s="4" t="inlineStr">
        <is>
          <t>CAT 938</t>
        </is>
      </c>
      <c r="E35" s="4" t="inlineStr">
        <is>
          <t>1x30lbs</t>
        </is>
      </c>
      <c r="F35" s="36" t="n">
        <v>0</v>
      </c>
      <c r="G35" s="29" t="n">
        <v>2</v>
      </c>
      <c r="H35" s="4" t="n">
        <v>1</v>
      </c>
      <c r="I35" s="4" t="n">
        <v>0</v>
      </c>
      <c r="J35" s="4" t="n">
        <v>3</v>
      </c>
      <c r="K35" s="4" t="n">
        <v>3</v>
      </c>
      <c r="L35" s="4" t="n">
        <v>0</v>
      </c>
      <c r="M35" s="4" t="n">
        <v>0</v>
      </c>
      <c r="N35" s="4" t="n">
        <v>0</v>
      </c>
      <c r="O35" s="3" t="n"/>
      <c r="P35" s="4" t="n"/>
    </row>
    <row r="36">
      <c r="D36" s="4" t="inlineStr">
        <is>
          <t>CAT 938H</t>
        </is>
      </c>
      <c r="E36" s="4" t="inlineStr">
        <is>
          <t>1x30lbs</t>
        </is>
      </c>
      <c r="F36" s="36" t="n">
        <v>0</v>
      </c>
      <c r="G36" s="29" t="n">
        <v>2</v>
      </c>
      <c r="H36" s="4" t="n">
        <v>1</v>
      </c>
      <c r="I36" s="4" t="n">
        <v>0</v>
      </c>
      <c r="J36" s="4" t="n">
        <v>3</v>
      </c>
      <c r="K36" s="4" t="n">
        <v>3</v>
      </c>
      <c r="L36" s="4" t="n">
        <v>0</v>
      </c>
      <c r="M36" s="4" t="n">
        <v>0</v>
      </c>
      <c r="N36" s="4" t="n">
        <v>0</v>
      </c>
      <c r="O36" s="3" t="n"/>
      <c r="P36" s="4" t="n"/>
    </row>
    <row r="37">
      <c r="D37" s="4" t="inlineStr">
        <is>
          <t>CAT 950H</t>
        </is>
      </c>
      <c r="E37" s="4" t="inlineStr">
        <is>
          <t>1x30lbs</t>
        </is>
      </c>
      <c r="F37" s="36" t="n">
        <v>0</v>
      </c>
      <c r="G37" s="29" t="n">
        <v>3</v>
      </c>
      <c r="H37" s="4" t="n">
        <v>1</v>
      </c>
      <c r="I37" s="4" t="n">
        <v>0</v>
      </c>
      <c r="J37" s="4" t="n">
        <v>3</v>
      </c>
      <c r="K37" s="4" t="n">
        <v>3</v>
      </c>
      <c r="L37" s="4" t="n">
        <v>0</v>
      </c>
      <c r="M37" s="4" t="n">
        <v>0</v>
      </c>
      <c r="N37" s="4" t="n">
        <v>0</v>
      </c>
      <c r="O37" s="3" t="n"/>
      <c r="P37" s="4" t="n"/>
    </row>
    <row r="38">
      <c r="D38" s="4" t="inlineStr">
        <is>
          <t>CAT 962H</t>
        </is>
      </c>
      <c r="E38" s="4" t="inlineStr">
        <is>
          <t>1x30lbs</t>
        </is>
      </c>
      <c r="F38" s="36" t="inlineStr">
        <is>
          <t>1x5gal</t>
        </is>
      </c>
      <c r="G38" s="29" t="n">
        <v>3</v>
      </c>
      <c r="H38" s="4" t="n">
        <v>2</v>
      </c>
      <c r="I38" s="4" t="n">
        <v>0</v>
      </c>
      <c r="J38" s="4" t="n">
        <v>2</v>
      </c>
      <c r="K38" s="4" t="n">
        <v>1</v>
      </c>
      <c r="L38" s="4" t="n">
        <v>0</v>
      </c>
      <c r="M38" s="4" t="n">
        <v>2</v>
      </c>
      <c r="N38" s="4" t="n">
        <v>2</v>
      </c>
      <c r="O38" s="3" t="n">
        <v>0</v>
      </c>
      <c r="P38" s="4" t="n"/>
    </row>
    <row r="39">
      <c r="D39" s="4" t="inlineStr">
        <is>
          <t>CAT 966</t>
        </is>
      </c>
      <c r="E39" s="4" t="inlineStr">
        <is>
          <t>1x60lbs</t>
        </is>
      </c>
      <c r="F39" s="36" t="inlineStr">
        <is>
          <t>1x5gal</t>
        </is>
      </c>
      <c r="G39" s="29" t="n">
        <v>3</v>
      </c>
      <c r="H39" s="4" t="n">
        <v>2</v>
      </c>
      <c r="I39" s="4" t="n">
        <v>0</v>
      </c>
      <c r="J39" s="4" t="n">
        <v>6</v>
      </c>
      <c r="K39" s="4" t="n">
        <v>6</v>
      </c>
      <c r="L39" s="4" t="n">
        <v>0</v>
      </c>
      <c r="M39" s="4" t="n">
        <v>2</v>
      </c>
      <c r="N39" s="4" t="n">
        <v>0</v>
      </c>
      <c r="O39" s="3" t="n"/>
      <c r="P39" s="4" t="n"/>
    </row>
    <row r="40">
      <c r="D40" s="4" t="inlineStr">
        <is>
          <t>CAT 980</t>
        </is>
      </c>
      <c r="E40" s="4" t="inlineStr">
        <is>
          <t>1x60lbs</t>
        </is>
      </c>
      <c r="F40" s="36" t="inlineStr">
        <is>
          <t>1x5gal</t>
        </is>
      </c>
      <c r="G40" s="29" t="n">
        <v>3</v>
      </c>
      <c r="H40" s="4" t="n">
        <v>2</v>
      </c>
      <c r="I40" s="4" t="n">
        <v>0</v>
      </c>
      <c r="J40" s="4" t="n">
        <v>6</v>
      </c>
      <c r="K40" s="4" t="n">
        <v>6</v>
      </c>
      <c r="L40" s="4" t="n">
        <v>0</v>
      </c>
      <c r="M40" s="4" t="n">
        <v>2</v>
      </c>
      <c r="N40" s="4" t="n">
        <v>0</v>
      </c>
      <c r="O40" s="3" t="n"/>
      <c r="P40" s="4" t="n"/>
    </row>
    <row r="41">
      <c r="D41" s="4" t="inlineStr">
        <is>
          <t>CAT 980H</t>
        </is>
      </c>
      <c r="E41" s="4" t="inlineStr">
        <is>
          <t>1x60lbs</t>
        </is>
      </c>
      <c r="F41" s="36" t="inlineStr">
        <is>
          <t>1x5gal</t>
        </is>
      </c>
      <c r="G41" s="29" t="n">
        <v>3</v>
      </c>
      <c r="H41" s="4" t="n">
        <v>2</v>
      </c>
      <c r="I41" s="4" t="n">
        <v>0</v>
      </c>
      <c r="J41" s="4" t="n">
        <v>6</v>
      </c>
      <c r="K41" s="4" t="n">
        <v>6</v>
      </c>
      <c r="L41" s="4" t="n">
        <v>0</v>
      </c>
      <c r="M41" s="4" t="n">
        <v>2</v>
      </c>
      <c r="N41" s="4" t="n">
        <v>0</v>
      </c>
      <c r="O41" s="3" t="n"/>
      <c r="P41" s="4" t="n"/>
    </row>
    <row r="42">
      <c r="D42" s="4" t="inlineStr">
        <is>
          <t>CAT 980L</t>
        </is>
      </c>
      <c r="E42" s="4" t="inlineStr">
        <is>
          <t>1x60lbs</t>
        </is>
      </c>
      <c r="F42" s="36" t="inlineStr">
        <is>
          <t>1x5gal</t>
        </is>
      </c>
      <c r="G42" s="29" t="n">
        <v>3</v>
      </c>
      <c r="H42" s="4" t="n">
        <v>2</v>
      </c>
      <c r="I42" s="4" t="n">
        <v>0</v>
      </c>
      <c r="J42" s="4" t="n">
        <v>6</v>
      </c>
      <c r="K42" s="4" t="n">
        <v>6</v>
      </c>
      <c r="L42" s="4" t="n">
        <v>0</v>
      </c>
      <c r="M42" s="4" t="n">
        <v>2</v>
      </c>
      <c r="N42" s="4" t="n">
        <v>0</v>
      </c>
      <c r="O42" s="3" t="n"/>
      <c r="P42" s="4" t="n"/>
    </row>
    <row r="43">
      <c r="D43" s="4" t="inlineStr">
        <is>
          <t>CAT 980M</t>
        </is>
      </c>
      <c r="E43" s="4" t="inlineStr">
        <is>
          <t>1x60lbs</t>
        </is>
      </c>
      <c r="F43" s="36" t="inlineStr">
        <is>
          <t>1x5gal</t>
        </is>
      </c>
      <c r="G43" s="29" t="n">
        <v>3</v>
      </c>
      <c r="H43" s="4" t="n">
        <v>2</v>
      </c>
      <c r="I43" s="4" t="n">
        <v>0</v>
      </c>
      <c r="J43" s="4" t="n">
        <v>6</v>
      </c>
      <c r="K43" s="4" t="n">
        <v>6</v>
      </c>
      <c r="L43" s="4" t="n">
        <v>0</v>
      </c>
      <c r="M43" s="4" t="n">
        <v>2</v>
      </c>
      <c r="N43" s="4" t="n">
        <v>0</v>
      </c>
      <c r="O43" s="3" t="n"/>
      <c r="P43" s="4" t="n"/>
    </row>
    <row r="44">
      <c r="D44" s="4" t="inlineStr">
        <is>
          <t>CAT 982</t>
        </is>
      </c>
      <c r="E44" s="4" t="inlineStr">
        <is>
          <t>1x60lbs</t>
        </is>
      </c>
      <c r="F44" s="36" t="inlineStr">
        <is>
          <t>1x5gal</t>
        </is>
      </c>
      <c r="G44" s="29" t="n">
        <v>3</v>
      </c>
      <c r="H44" s="4" t="n">
        <v>2</v>
      </c>
      <c r="I44" s="4" t="n">
        <v>0</v>
      </c>
      <c r="J44" s="4" t="n">
        <v>6</v>
      </c>
      <c r="K44" s="4" t="n">
        <v>6</v>
      </c>
      <c r="L44" s="4" t="n">
        <v>0</v>
      </c>
      <c r="M44" s="4" t="n">
        <v>2</v>
      </c>
      <c r="N44" s="4" t="n">
        <v>0</v>
      </c>
      <c r="O44" s="3" t="n"/>
      <c r="P44" s="4" t="n"/>
    </row>
    <row r="45">
      <c r="D45" s="4" t="inlineStr">
        <is>
          <t>CAT 988H</t>
        </is>
      </c>
      <c r="E45" s="4" t="inlineStr">
        <is>
          <t>3x30lbs</t>
        </is>
      </c>
      <c r="F45" s="36" t="n">
        <v>0</v>
      </c>
      <c r="G45" s="29" t="n">
        <v>3</v>
      </c>
      <c r="H45" s="4" t="n">
        <v>2</v>
      </c>
      <c r="I45" s="4" t="n">
        <v>1</v>
      </c>
      <c r="J45" s="4" t="n">
        <v>6</v>
      </c>
      <c r="K45" s="4" t="n">
        <v>6</v>
      </c>
      <c r="L45" s="4" t="n">
        <v>3</v>
      </c>
      <c r="M45" s="4" t="n">
        <v>0</v>
      </c>
      <c r="N45" s="4" t="n">
        <v>0</v>
      </c>
      <c r="O45" s="3" t="n"/>
      <c r="P45" s="4" t="n"/>
    </row>
    <row r="46">
      <c r="D46" s="4" t="inlineStr">
        <is>
          <t>CAT 988K</t>
        </is>
      </c>
      <c r="E46" s="4" t="inlineStr">
        <is>
          <t>3x30lbs</t>
        </is>
      </c>
      <c r="F46" s="36" t="inlineStr">
        <is>
          <t>1x5gal</t>
        </is>
      </c>
      <c r="G46" s="29" t="n">
        <v>3</v>
      </c>
      <c r="H46" s="4" t="n">
        <v>2</v>
      </c>
      <c r="I46" s="4" t="n">
        <v>1</v>
      </c>
      <c r="J46" s="4" t="n">
        <v>6</v>
      </c>
      <c r="K46" s="4" t="n">
        <v>6</v>
      </c>
      <c r="L46" s="4" t="n">
        <v>3</v>
      </c>
      <c r="M46" s="4" t="n">
        <v>2</v>
      </c>
      <c r="N46" s="4" t="n">
        <v>2</v>
      </c>
      <c r="O46" s="3" t="n">
        <v>0</v>
      </c>
      <c r="P46" s="4" t="n"/>
    </row>
    <row r="47">
      <c r="D47" s="4" t="inlineStr">
        <is>
          <t>CAT 990</t>
        </is>
      </c>
      <c r="E47" s="4" t="inlineStr">
        <is>
          <t>1x60lbs + 1x30lbs</t>
        </is>
      </c>
      <c r="F47" s="36" t="inlineStr">
        <is>
          <t>1x5gal</t>
        </is>
      </c>
      <c r="G47" s="29" t="n">
        <v>3</v>
      </c>
      <c r="H47" s="4" t="n">
        <v>2</v>
      </c>
      <c r="I47" s="4" t="n">
        <v>1</v>
      </c>
      <c r="J47" s="4" t="n">
        <v>6</v>
      </c>
      <c r="K47" s="4" t="n">
        <v>6</v>
      </c>
      <c r="L47" s="4" t="n">
        <v>3</v>
      </c>
      <c r="M47" s="4" t="n">
        <v>3</v>
      </c>
      <c r="N47" s="4" t="n">
        <v>0</v>
      </c>
      <c r="O47" s="3" t="n"/>
      <c r="P47" s="4" t="n"/>
    </row>
    <row r="48">
      <c r="D48" s="4" t="inlineStr">
        <is>
          <t>CAT 990H</t>
        </is>
      </c>
      <c r="E48" s="4" t="inlineStr">
        <is>
          <t>1x60lbs + 1x30lbs</t>
        </is>
      </c>
      <c r="F48" s="36" t="inlineStr">
        <is>
          <t>1x5gal</t>
        </is>
      </c>
      <c r="G48" s="29" t="n">
        <v>3</v>
      </c>
      <c r="H48" s="4" t="n">
        <v>2</v>
      </c>
      <c r="I48" s="4" t="n">
        <v>1</v>
      </c>
      <c r="J48" s="4" t="n">
        <v>6</v>
      </c>
      <c r="K48" s="4" t="n">
        <v>6</v>
      </c>
      <c r="L48" s="4" t="n">
        <v>3</v>
      </c>
      <c r="M48" s="4" t="n">
        <v>3</v>
      </c>
      <c r="N48" s="4" t="n">
        <v>0</v>
      </c>
      <c r="O48" s="3" t="n"/>
      <c r="P48" s="4" t="n"/>
    </row>
    <row r="49">
      <c r="D49" s="4" t="inlineStr">
        <is>
          <t>CAT 990II</t>
        </is>
      </c>
      <c r="E49" s="4" t="inlineStr">
        <is>
          <t>1x60lbs + 1x30lbs</t>
        </is>
      </c>
      <c r="F49" s="36" t="inlineStr">
        <is>
          <t>1x5gal</t>
        </is>
      </c>
      <c r="G49" s="29" t="n">
        <v>3</v>
      </c>
      <c r="H49" s="4" t="n">
        <v>2</v>
      </c>
      <c r="I49" s="4" t="n">
        <v>1</v>
      </c>
      <c r="J49" s="4" t="n">
        <v>6</v>
      </c>
      <c r="K49" s="4" t="n">
        <v>6</v>
      </c>
      <c r="L49" s="4" t="n">
        <v>3</v>
      </c>
      <c r="M49" s="4" t="n">
        <v>3</v>
      </c>
      <c r="N49" s="4" t="n">
        <v>0</v>
      </c>
      <c r="O49" s="3" t="n"/>
      <c r="P49" s="4" t="n"/>
    </row>
    <row r="50">
      <c r="D50" s="4" t="inlineStr">
        <is>
          <t>CAT 990K</t>
        </is>
      </c>
      <c r="E50" s="4" t="inlineStr">
        <is>
          <t>1x60lbs + 1x30lbs</t>
        </is>
      </c>
      <c r="F50" s="36" t="inlineStr">
        <is>
          <t>1x5gal</t>
        </is>
      </c>
      <c r="G50" s="29" t="n">
        <v>3</v>
      </c>
      <c r="H50" s="4" t="n">
        <v>2</v>
      </c>
      <c r="I50" s="4" t="n">
        <v>1</v>
      </c>
      <c r="J50" s="4" t="n">
        <v>6</v>
      </c>
      <c r="K50" s="4" t="n">
        <v>6</v>
      </c>
      <c r="L50" s="4" t="n">
        <v>3</v>
      </c>
      <c r="M50" s="4" t="n">
        <v>3</v>
      </c>
      <c r="N50" s="4" t="n">
        <v>0</v>
      </c>
      <c r="O50" s="3" t="n"/>
      <c r="P50" s="4" t="n"/>
    </row>
    <row r="51">
      <c r="D51" s="4" t="inlineStr">
        <is>
          <t>CAT 992</t>
        </is>
      </c>
      <c r="E51" s="4" t="inlineStr">
        <is>
          <t>2x60lbs</t>
        </is>
      </c>
      <c r="F51" s="36" t="inlineStr">
        <is>
          <t>1x5gal</t>
        </is>
      </c>
      <c r="G51" s="29" t="n">
        <v>3</v>
      </c>
      <c r="H51" s="4" t="n">
        <v>2</v>
      </c>
      <c r="I51" s="4" t="n">
        <v>1</v>
      </c>
      <c r="J51" s="4" t="n">
        <v>12</v>
      </c>
      <c r="K51" s="4" t="n">
        <v>6</v>
      </c>
      <c r="L51" s="4" t="n">
        <v>3</v>
      </c>
      <c r="M51" s="4" t="n">
        <v>4</v>
      </c>
      <c r="N51" s="4" t="n">
        <v>0</v>
      </c>
      <c r="O51" s="3" t="n"/>
      <c r="P51" s="4" t="n"/>
    </row>
    <row r="52">
      <c r="D52" s="4" t="inlineStr">
        <is>
          <t>CAT 992D</t>
        </is>
      </c>
      <c r="E52" s="4" t="inlineStr">
        <is>
          <t>2x60lbs</t>
        </is>
      </c>
      <c r="F52" s="36" t="inlineStr">
        <is>
          <t>1x5gal</t>
        </is>
      </c>
      <c r="G52" s="29" t="n">
        <v>3</v>
      </c>
      <c r="H52" s="4" t="n">
        <v>2</v>
      </c>
      <c r="I52" s="4" t="n">
        <v>1</v>
      </c>
      <c r="J52" s="4" t="n">
        <v>12</v>
      </c>
      <c r="K52" s="4" t="n">
        <v>6</v>
      </c>
      <c r="L52" s="4" t="n">
        <v>3</v>
      </c>
      <c r="M52" s="4" t="n">
        <v>4</v>
      </c>
      <c r="N52" s="4" t="n">
        <v>0</v>
      </c>
      <c r="O52" s="3" t="n"/>
      <c r="P52" s="4" t="n"/>
    </row>
    <row r="53">
      <c r="D53" s="4" t="inlineStr">
        <is>
          <t>CAT 992H</t>
        </is>
      </c>
      <c r="E53" s="4" t="inlineStr">
        <is>
          <t>2x60lbs</t>
        </is>
      </c>
      <c r="F53" s="36" t="inlineStr">
        <is>
          <t>1x5gal</t>
        </is>
      </c>
      <c r="G53" s="29" t="n">
        <v>3</v>
      </c>
      <c r="H53" s="4" t="n">
        <v>2</v>
      </c>
      <c r="I53" s="4" t="n">
        <v>1</v>
      </c>
      <c r="J53" s="4" t="n">
        <v>12</v>
      </c>
      <c r="K53" s="4" t="n">
        <v>6</v>
      </c>
      <c r="L53" s="4" t="n">
        <v>3</v>
      </c>
      <c r="M53" s="4" t="n">
        <v>4</v>
      </c>
      <c r="N53" s="4" t="n">
        <v>0</v>
      </c>
      <c r="O53" s="3" t="n"/>
      <c r="P53" s="4" t="n"/>
    </row>
    <row r="54">
      <c r="D54" s="4" t="inlineStr">
        <is>
          <t>CAT 992K</t>
        </is>
      </c>
      <c r="E54" s="4" t="inlineStr">
        <is>
          <t>2x60lbs</t>
        </is>
      </c>
      <c r="F54" s="36" t="inlineStr">
        <is>
          <t>1x5gal</t>
        </is>
      </c>
      <c r="G54" s="29" t="n">
        <v>3</v>
      </c>
      <c r="H54" s="4" t="n">
        <v>2</v>
      </c>
      <c r="I54" s="4" t="n">
        <v>1</v>
      </c>
      <c r="J54" s="4" t="n">
        <v>12</v>
      </c>
      <c r="K54" s="4" t="n">
        <v>6</v>
      </c>
      <c r="L54" s="4" t="n">
        <v>3</v>
      </c>
      <c r="M54" s="4" t="n">
        <v>4</v>
      </c>
      <c r="N54" s="4" t="n">
        <v>0</v>
      </c>
      <c r="O54" s="3" t="n"/>
      <c r="P54" s="4" t="n"/>
    </row>
    <row r="55">
      <c r="D55" s="4" t="inlineStr">
        <is>
          <t>CAT 994K</t>
        </is>
      </c>
      <c r="E55" s="4" t="inlineStr">
        <is>
          <t>3x60lbs</t>
        </is>
      </c>
      <c r="F55" s="36" t="inlineStr">
        <is>
          <t>1x15gal</t>
        </is>
      </c>
      <c r="G55" s="29" t="n">
        <v>4</v>
      </c>
      <c r="H55" s="4" t="n">
        <v>3</v>
      </c>
      <c r="I55" s="4" t="n">
        <v>2</v>
      </c>
      <c r="J55" s="4" t="n">
        <v>12</v>
      </c>
      <c r="K55" s="4" t="n">
        <v>12</v>
      </c>
      <c r="L55" s="4" t="n">
        <v>6</v>
      </c>
      <c r="M55" s="4" t="n">
        <v>6</v>
      </c>
      <c r="N55" s="4" t="n">
        <v>3</v>
      </c>
      <c r="O55" s="3" t="n"/>
      <c r="P55" s="4" t="n"/>
    </row>
    <row r="56">
      <c r="D56" s="4" t="inlineStr">
        <is>
          <t>CAT 995</t>
        </is>
      </c>
      <c r="E56" s="4" t="inlineStr">
        <is>
          <t>3x60lbs</t>
        </is>
      </c>
      <c r="F56" s="36" t="inlineStr">
        <is>
          <t>1x15gal</t>
        </is>
      </c>
      <c r="G56" s="29" t="n">
        <v>4</v>
      </c>
      <c r="H56" s="4" t="n">
        <v>3</v>
      </c>
      <c r="I56" s="4" t="n">
        <v>2</v>
      </c>
      <c r="J56" s="4" t="n">
        <v>12</v>
      </c>
      <c r="K56" s="4" t="n">
        <v>12</v>
      </c>
      <c r="L56" s="4" t="n">
        <v>6</v>
      </c>
      <c r="M56" s="4" t="n">
        <v>6</v>
      </c>
      <c r="N56" s="4" t="n">
        <v>3</v>
      </c>
      <c r="O56" s="3" t="n"/>
      <c r="P56" s="4" t="n"/>
    </row>
    <row r="57">
      <c r="D57" s="4" t="inlineStr">
        <is>
          <t>CAT CS54B</t>
        </is>
      </c>
      <c r="E57" s="4" t="inlineStr">
        <is>
          <t>1x30lbs</t>
        </is>
      </c>
      <c r="F57" s="36" t="n">
        <v>0</v>
      </c>
      <c r="G57" s="29" t="n">
        <v>2</v>
      </c>
      <c r="H57" s="4" t="n">
        <v>1</v>
      </c>
      <c r="I57" s="4" t="n">
        <v>0</v>
      </c>
      <c r="J57" s="4" t="n">
        <v>4</v>
      </c>
      <c r="K57" s="4" t="n">
        <v>2</v>
      </c>
      <c r="L57" s="4" t="n">
        <v>0</v>
      </c>
      <c r="M57" s="4" t="n">
        <v>0</v>
      </c>
      <c r="N57" s="4" t="n">
        <v>0</v>
      </c>
      <c r="O57" s="3" t="n"/>
      <c r="P57" s="4" t="n"/>
    </row>
    <row r="58">
      <c r="D58" s="4" t="inlineStr">
        <is>
          <t>CAT D10</t>
        </is>
      </c>
      <c r="E58" s="4" t="inlineStr">
        <is>
          <t>1x60lbs</t>
        </is>
      </c>
      <c r="F58" s="36" t="inlineStr">
        <is>
          <t>1x5gal</t>
        </is>
      </c>
      <c r="G58" s="29" t="n">
        <v>3</v>
      </c>
      <c r="H58" s="4" t="n">
        <v>2</v>
      </c>
      <c r="I58" s="4" t="n">
        <v>0</v>
      </c>
      <c r="J58" s="4" t="n">
        <v>6</v>
      </c>
      <c r="K58" s="4" t="n">
        <v>3</v>
      </c>
      <c r="L58" s="4" t="n">
        <v>0</v>
      </c>
      <c r="M58" s="4" t="n">
        <v>2</v>
      </c>
      <c r="N58" s="4" t="n">
        <v>0</v>
      </c>
      <c r="O58" s="3" t="n"/>
      <c r="P58" s="4" t="inlineStr">
        <is>
          <t>Não</t>
        </is>
      </c>
    </row>
    <row r="59">
      <c r="D59" s="4" t="inlineStr">
        <is>
          <t>CAT D10T</t>
        </is>
      </c>
      <c r="E59" s="4" t="inlineStr">
        <is>
          <t>1x60lbs</t>
        </is>
      </c>
      <c r="F59" s="36" t="inlineStr">
        <is>
          <t>1x5gal</t>
        </is>
      </c>
      <c r="G59" s="29" t="n">
        <v>3</v>
      </c>
      <c r="H59" s="4" t="n">
        <v>2</v>
      </c>
      <c r="I59" s="4" t="n">
        <v>0</v>
      </c>
      <c r="J59" s="4" t="n">
        <v>6</v>
      </c>
      <c r="K59" s="4" t="n">
        <v>3</v>
      </c>
      <c r="L59" s="4" t="n">
        <v>0</v>
      </c>
      <c r="M59" s="4" t="n">
        <v>2</v>
      </c>
      <c r="N59" s="4" t="n">
        <v>0</v>
      </c>
      <c r="O59" s="3" t="n"/>
      <c r="P59" s="4" t="inlineStr">
        <is>
          <t>Não</t>
        </is>
      </c>
    </row>
    <row r="60">
      <c r="D60" s="4" t="inlineStr">
        <is>
          <t xml:space="preserve">CAT D10T2 </t>
        </is>
      </c>
      <c r="E60" s="4" t="inlineStr">
        <is>
          <t>1x60lbs</t>
        </is>
      </c>
      <c r="F60" s="36" t="inlineStr">
        <is>
          <t>1x5gal</t>
        </is>
      </c>
      <c r="G60" s="29" t="n">
        <v>3</v>
      </c>
      <c r="H60" s="4" t="n">
        <v>2</v>
      </c>
      <c r="I60" s="4" t="n">
        <v>0</v>
      </c>
      <c r="J60" s="4" t="n">
        <v>6</v>
      </c>
      <c r="K60" s="4" t="n">
        <v>3</v>
      </c>
      <c r="L60" s="4" t="n">
        <v>0</v>
      </c>
      <c r="M60" s="4" t="n">
        <v>2</v>
      </c>
      <c r="N60" s="4" t="n">
        <v>0</v>
      </c>
      <c r="O60" s="3" t="n"/>
      <c r="P60" s="4" t="n"/>
    </row>
    <row r="61">
      <c r="D61" s="4" t="inlineStr">
        <is>
          <t>CAT D5</t>
        </is>
      </c>
      <c r="E61" s="4" t="inlineStr">
        <is>
          <t>1x30lbs</t>
        </is>
      </c>
      <c r="F61" s="36" t="inlineStr">
        <is>
          <t>1x5gal</t>
        </is>
      </c>
      <c r="G61" s="29" t="n">
        <v>2</v>
      </c>
      <c r="H61" s="4" t="n">
        <v>1</v>
      </c>
      <c r="I61" s="4" t="n">
        <v>0</v>
      </c>
      <c r="J61" s="4" t="n">
        <v>4</v>
      </c>
      <c r="K61" s="4" t="n">
        <v>2</v>
      </c>
      <c r="L61" s="4" t="n">
        <v>0</v>
      </c>
      <c r="M61" s="4" t="n">
        <v>0</v>
      </c>
      <c r="N61" s="4" t="n">
        <v>0</v>
      </c>
      <c r="O61" s="3" t="n">
        <v>0</v>
      </c>
      <c r="P61" s="4" t="n"/>
    </row>
    <row r="62">
      <c r="D62" s="4" t="inlineStr">
        <is>
          <t>CAT D6</t>
        </is>
      </c>
      <c r="E62" s="4" t="inlineStr">
        <is>
          <t>1x30lbs</t>
        </is>
      </c>
      <c r="F62" s="36" t="inlineStr">
        <is>
          <t>1x5gal</t>
        </is>
      </c>
      <c r="G62" s="29" t="n">
        <v>2</v>
      </c>
      <c r="H62" s="4" t="n">
        <v>1</v>
      </c>
      <c r="I62" s="4" t="n">
        <v>0</v>
      </c>
      <c r="J62" s="4" t="n">
        <v>4</v>
      </c>
      <c r="K62" s="4" t="n">
        <v>2</v>
      </c>
      <c r="L62" s="4" t="n">
        <v>0</v>
      </c>
      <c r="M62" s="4" t="n">
        <v>2</v>
      </c>
      <c r="N62" s="4" t="n">
        <v>0</v>
      </c>
      <c r="O62" s="3" t="n"/>
      <c r="P62" s="4" t="n"/>
    </row>
    <row r="63">
      <c r="D63" s="4" t="inlineStr">
        <is>
          <t>CAT D6R</t>
        </is>
      </c>
      <c r="E63" s="4" t="inlineStr">
        <is>
          <t>1x30lbs</t>
        </is>
      </c>
      <c r="F63" s="36" t="inlineStr">
        <is>
          <t>1x5gal</t>
        </is>
      </c>
      <c r="G63" s="29" t="n">
        <v>2</v>
      </c>
      <c r="H63" s="4" t="n">
        <v>1</v>
      </c>
      <c r="I63" s="4" t="n">
        <v>0</v>
      </c>
      <c r="J63" s="4" t="n">
        <v>4</v>
      </c>
      <c r="K63" s="4" t="n">
        <v>2</v>
      </c>
      <c r="L63" s="4" t="n">
        <v>0</v>
      </c>
      <c r="M63" s="4" t="n">
        <v>2</v>
      </c>
      <c r="N63" s="4" t="n">
        <v>0</v>
      </c>
      <c r="O63" s="3" t="n"/>
      <c r="P63" s="4" t="n"/>
    </row>
    <row r="64">
      <c r="D64" s="4" t="inlineStr">
        <is>
          <t>CAT D6T</t>
        </is>
      </c>
      <c r="E64" s="4" t="inlineStr">
        <is>
          <t>1x30lbs</t>
        </is>
      </c>
      <c r="F64" s="36" t="inlineStr">
        <is>
          <t>1x5gal</t>
        </is>
      </c>
      <c r="G64" s="29" t="n">
        <v>2</v>
      </c>
      <c r="H64" s="4" t="n">
        <v>1</v>
      </c>
      <c r="I64" s="4" t="n">
        <v>0</v>
      </c>
      <c r="J64" s="4" t="n">
        <v>4</v>
      </c>
      <c r="K64" s="4" t="n">
        <v>2</v>
      </c>
      <c r="L64" s="4" t="n">
        <v>0</v>
      </c>
      <c r="M64" s="4" t="n">
        <v>2</v>
      </c>
      <c r="N64" s="4" t="n">
        <v>0</v>
      </c>
      <c r="O64" s="3" t="n"/>
      <c r="P64" s="4" t="n"/>
    </row>
    <row r="65">
      <c r="D65" s="4" t="inlineStr">
        <is>
          <t>CAT D8</t>
        </is>
      </c>
      <c r="E65" s="4" t="inlineStr">
        <is>
          <t>1x60lbs</t>
        </is>
      </c>
      <c r="F65" s="36" t="inlineStr">
        <is>
          <t>1x5gal</t>
        </is>
      </c>
      <c r="G65" s="29" t="n">
        <v>3</v>
      </c>
      <c r="H65" s="4" t="n">
        <v>2</v>
      </c>
      <c r="I65" s="4" t="n">
        <v>0</v>
      </c>
      <c r="J65" s="4" t="n">
        <v>6</v>
      </c>
      <c r="K65" s="4" t="n">
        <v>3</v>
      </c>
      <c r="L65" s="4" t="n">
        <v>0</v>
      </c>
      <c r="M65" s="4" t="n">
        <v>2</v>
      </c>
      <c r="N65" s="4" t="n">
        <v>0</v>
      </c>
      <c r="O65" s="3" t="n"/>
      <c r="P65" s="4" t="n"/>
    </row>
    <row r="66">
      <c r="D66" s="4" t="inlineStr">
        <is>
          <t>CAT D8T</t>
        </is>
      </c>
      <c r="E66" s="4" t="inlineStr">
        <is>
          <t>1x60lbs</t>
        </is>
      </c>
      <c r="F66" s="36" t="inlineStr">
        <is>
          <t>1x5gal</t>
        </is>
      </c>
      <c r="G66" s="29" t="n">
        <v>3</v>
      </c>
      <c r="H66" s="4" t="n">
        <v>2</v>
      </c>
      <c r="I66" s="4" t="n">
        <v>0</v>
      </c>
      <c r="J66" s="4" t="n">
        <v>6</v>
      </c>
      <c r="K66" s="4" t="n">
        <v>3</v>
      </c>
      <c r="L66" s="4" t="n">
        <v>0</v>
      </c>
      <c r="M66" s="4" t="n">
        <v>2</v>
      </c>
      <c r="N66" s="4" t="n">
        <v>0</v>
      </c>
      <c r="O66" s="3" t="n"/>
      <c r="P66" s="4" t="n"/>
    </row>
    <row r="67">
      <c r="D67" s="4" t="inlineStr">
        <is>
          <t>CAT D9T</t>
        </is>
      </c>
      <c r="E67" s="4" t="inlineStr">
        <is>
          <t>1x60lbs</t>
        </is>
      </c>
      <c r="F67" s="36" t="inlineStr">
        <is>
          <t>1x5gal</t>
        </is>
      </c>
      <c r="G67" s="29" t="n">
        <v>3</v>
      </c>
      <c r="H67" s="4" t="n">
        <v>2</v>
      </c>
      <c r="I67" s="4" t="n">
        <v>0</v>
      </c>
      <c r="J67" s="4" t="n">
        <v>6</v>
      </c>
      <c r="K67" s="4" t="n">
        <v>3</v>
      </c>
      <c r="L67" s="4" t="n">
        <v>0</v>
      </c>
      <c r="M67" s="4" t="n">
        <v>2</v>
      </c>
      <c r="N67" s="4" t="n">
        <v>0</v>
      </c>
      <c r="O67" s="3" t="n"/>
      <c r="P67" s="4" t="n"/>
    </row>
    <row r="68">
      <c r="D68" s="4" t="inlineStr">
        <is>
          <t>CAT MD6290</t>
        </is>
      </c>
      <c r="E68" s="4" t="inlineStr">
        <is>
          <t>1x125lbs</t>
        </is>
      </c>
      <c r="F68" s="36" t="inlineStr">
        <is>
          <t>1x15gal</t>
        </is>
      </c>
      <c r="G68" s="29" t="n">
        <v>6</v>
      </c>
      <c r="H68" s="4" t="n">
        <v>0</v>
      </c>
      <c r="I68" s="4" t="n">
        <v>2</v>
      </c>
      <c r="J68" s="4" t="n">
        <v>12</v>
      </c>
      <c r="K68" s="4" t="n">
        <v>0</v>
      </c>
      <c r="L68" s="4" t="n">
        <v>6</v>
      </c>
      <c r="M68" s="4" t="n">
        <v>4</v>
      </c>
      <c r="N68" s="4" t="n">
        <v>3</v>
      </c>
      <c r="O68" s="3" t="n"/>
      <c r="P68" s="4" t="n"/>
    </row>
    <row r="69">
      <c r="D69" s="4" t="inlineStr">
        <is>
          <t>CAT MD6310</t>
        </is>
      </c>
      <c r="E69" s="4" t="inlineStr">
        <is>
          <t>1x125lbs</t>
        </is>
      </c>
      <c r="F69" s="36" t="inlineStr">
        <is>
          <t>1x15gal</t>
        </is>
      </c>
      <c r="G69" s="29" t="n">
        <v>6</v>
      </c>
      <c r="H69" s="4" t="n">
        <v>0</v>
      </c>
      <c r="I69" s="4" t="n">
        <v>2</v>
      </c>
      <c r="J69" s="4" t="n">
        <v>12</v>
      </c>
      <c r="K69" s="4" t="n">
        <v>0</v>
      </c>
      <c r="L69" s="4" t="n">
        <v>6</v>
      </c>
      <c r="M69" s="4" t="n">
        <v>4</v>
      </c>
      <c r="N69" s="4" t="n">
        <v>0</v>
      </c>
      <c r="O69" s="3" t="n">
        <v>2</v>
      </c>
      <c r="P69" s="4" t="n"/>
    </row>
    <row r="70">
      <c r="D70" s="4" t="inlineStr">
        <is>
          <t>CAT MD6420</t>
        </is>
      </c>
      <c r="E70" s="4" t="inlineStr">
        <is>
          <t>1x125lbs</t>
        </is>
      </c>
      <c r="F70" s="36" t="inlineStr">
        <is>
          <t>1x15gal</t>
        </is>
      </c>
      <c r="G70" s="29" t="n">
        <v>6</v>
      </c>
      <c r="H70" s="4" t="n">
        <v>0</v>
      </c>
      <c r="I70" s="4" t="n">
        <v>2</v>
      </c>
      <c r="J70" s="4" t="n">
        <v>12</v>
      </c>
      <c r="K70" s="4" t="n">
        <v>0</v>
      </c>
      <c r="L70" s="4" t="n">
        <v>6</v>
      </c>
      <c r="M70" s="4" t="n">
        <v>4</v>
      </c>
      <c r="N70" s="4" t="n">
        <v>0</v>
      </c>
      <c r="O70" s="3" t="n">
        <v>2</v>
      </c>
      <c r="P70" s="4" t="n"/>
    </row>
    <row r="71">
      <c r="D71" s="4" t="inlineStr">
        <is>
          <t>EPIROC D65</t>
        </is>
      </c>
      <c r="E71" s="4" t="inlineStr">
        <is>
          <t>2x60lbs</t>
        </is>
      </c>
      <c r="F71" s="36" t="inlineStr">
        <is>
          <t>1x5gal</t>
        </is>
      </c>
      <c r="G71" s="29" t="n">
        <v>4</v>
      </c>
      <c r="H71" s="4" t="n">
        <v>2</v>
      </c>
      <c r="I71" s="4" t="n">
        <v>1</v>
      </c>
      <c r="J71" s="4" t="n">
        <v>12</v>
      </c>
      <c r="K71" s="4" t="n">
        <v>6</v>
      </c>
      <c r="L71" s="4" t="n">
        <v>6</v>
      </c>
      <c r="M71" s="4" t="n">
        <v>3</v>
      </c>
      <c r="N71" s="4" t="n">
        <v>0</v>
      </c>
      <c r="O71" s="3" t="n"/>
      <c r="P71" s="4" t="n"/>
    </row>
    <row r="72">
      <c r="D72" s="4" t="inlineStr">
        <is>
          <t>EPIROC DM45</t>
        </is>
      </c>
      <c r="E72" s="4" t="inlineStr">
        <is>
          <t>2x60lbs</t>
        </is>
      </c>
      <c r="F72" s="36" t="inlineStr">
        <is>
          <t>1x5gal</t>
        </is>
      </c>
      <c r="G72" s="29" t="n">
        <v>4</v>
      </c>
      <c r="H72" s="4" t="n">
        <v>2</v>
      </c>
      <c r="I72" s="4" t="n">
        <v>1</v>
      </c>
      <c r="J72" s="4" t="n">
        <v>12</v>
      </c>
      <c r="K72" s="4" t="n">
        <v>6</v>
      </c>
      <c r="L72" s="4" t="n">
        <v>6</v>
      </c>
      <c r="M72" s="4" t="n">
        <v>3</v>
      </c>
      <c r="N72" s="4" t="n">
        <v>0</v>
      </c>
      <c r="O72" s="3" t="n"/>
      <c r="P72" s="4" t="n"/>
    </row>
    <row r="73">
      <c r="D73" s="4" t="inlineStr">
        <is>
          <t>EPIROC Flexiroc T35</t>
        </is>
      </c>
      <c r="E73" s="4" t="inlineStr">
        <is>
          <t>1x60lbs</t>
        </is>
      </c>
      <c r="F73" s="36" t="inlineStr">
        <is>
          <t>1x5gal</t>
        </is>
      </c>
      <c r="G73" s="29" t="n">
        <v>3</v>
      </c>
      <c r="H73" s="4" t="n">
        <v>0</v>
      </c>
      <c r="I73" s="4" t="n">
        <v>1</v>
      </c>
      <c r="J73" s="4" t="n">
        <v>6</v>
      </c>
      <c r="K73" s="4" t="n">
        <v>0</v>
      </c>
      <c r="L73" s="4" t="n">
        <v>6</v>
      </c>
      <c r="M73" s="4" t="n">
        <v>2</v>
      </c>
      <c r="N73" s="4" t="n">
        <v>0</v>
      </c>
      <c r="O73" s="3" t="n"/>
      <c r="P73" s="4" t="n"/>
    </row>
    <row r="74">
      <c r="D74" s="4" t="inlineStr">
        <is>
          <t>EPIROC ROC D65</t>
        </is>
      </c>
      <c r="E74" s="4" t="inlineStr">
        <is>
          <t>2x60lbs</t>
        </is>
      </c>
      <c r="F74" s="36" t="inlineStr">
        <is>
          <t>1x5gal</t>
        </is>
      </c>
      <c r="G74" s="29" t="n">
        <v>4</v>
      </c>
      <c r="H74" s="4" t="n">
        <v>2</v>
      </c>
      <c r="I74" s="4" t="n">
        <v>1</v>
      </c>
      <c r="J74" s="4" t="n">
        <v>9</v>
      </c>
      <c r="K74" s="4" t="n">
        <v>6</v>
      </c>
      <c r="L74" s="4" t="n">
        <v>3</v>
      </c>
      <c r="M74" s="4" t="n">
        <v>2</v>
      </c>
      <c r="N74" s="4" t="n">
        <v>0</v>
      </c>
      <c r="O74" s="3" t="n"/>
      <c r="P74" s="4" t="n"/>
    </row>
    <row r="75">
      <c r="D75" s="4" t="inlineStr">
        <is>
          <t>EPIROC ROC L8</t>
        </is>
      </c>
      <c r="E75" s="4" t="inlineStr">
        <is>
          <t>1x60lbs + 1x30lbs</t>
        </is>
      </c>
      <c r="F75" s="36" t="inlineStr">
        <is>
          <t>1x5gal</t>
        </is>
      </c>
      <c r="G75" s="29" t="n">
        <v>4</v>
      </c>
      <c r="H75" s="4" t="n">
        <v>2</v>
      </c>
      <c r="I75" s="4" t="n">
        <v>1</v>
      </c>
      <c r="J75" s="4" t="n">
        <v>6</v>
      </c>
      <c r="K75" s="4" t="n">
        <v>6</v>
      </c>
      <c r="L75" s="4" t="n">
        <v>3</v>
      </c>
      <c r="M75" s="4" t="n">
        <v>2</v>
      </c>
      <c r="N75" s="4" t="n">
        <v>0</v>
      </c>
      <c r="O75" s="3" t="n"/>
      <c r="P75" s="4" t="n"/>
    </row>
    <row r="76">
      <c r="D76" s="30" t="inlineStr">
        <is>
          <t>Komatsu 830E</t>
        </is>
      </c>
      <c r="E76" s="4" t="inlineStr">
        <is>
          <t>2x60lbs</t>
        </is>
      </c>
      <c r="F76" s="36" t="inlineStr">
        <is>
          <t>2x5gal</t>
        </is>
      </c>
      <c r="G76" s="29" t="n">
        <v>4</v>
      </c>
      <c r="H76" s="4" t="n">
        <v>2</v>
      </c>
      <c r="I76" s="4" t="n">
        <v>2</v>
      </c>
      <c r="J76" s="4" t="n">
        <v>12</v>
      </c>
      <c r="K76" s="4" t="n">
        <v>3</v>
      </c>
      <c r="L76" s="4" t="n">
        <v>3</v>
      </c>
      <c r="M76" s="4" t="n">
        <v>2</v>
      </c>
      <c r="N76" s="4" t="n">
        <v>6</v>
      </c>
      <c r="O76" s="3" t="n">
        <v>0</v>
      </c>
      <c r="P76" s="4" t="n"/>
    </row>
    <row r="77">
      <c r="D77" s="30" t="inlineStr">
        <is>
          <t>Komatsu D475A-8R</t>
        </is>
      </c>
      <c r="E77" s="4" t="inlineStr">
        <is>
          <t>3x30lbs</t>
        </is>
      </c>
      <c r="F77" s="36" t="inlineStr">
        <is>
          <t>1x5gal</t>
        </is>
      </c>
      <c r="G77" s="29" t="n">
        <v>4</v>
      </c>
      <c r="H77" s="4" t="n">
        <v>3</v>
      </c>
      <c r="I77" s="4" t="n">
        <v>0</v>
      </c>
      <c r="J77" s="4" t="n">
        <v>12</v>
      </c>
      <c r="K77" s="4" t="n">
        <v>6</v>
      </c>
      <c r="L77" s="4" t="n">
        <v>0</v>
      </c>
      <c r="M77" s="4" t="n">
        <v>2</v>
      </c>
      <c r="N77" s="4" t="n">
        <v>2</v>
      </c>
      <c r="O77" s="3" t="n"/>
      <c r="P77" s="4" t="n"/>
    </row>
    <row r="78">
      <c r="D78" s="4" t="inlineStr">
        <is>
          <t>Komatsu PC1250</t>
        </is>
      </c>
      <c r="E78" s="4" t="inlineStr">
        <is>
          <t>2x60lbs</t>
        </is>
      </c>
      <c r="F78" s="36" t="inlineStr">
        <is>
          <t>2x5gal</t>
        </is>
      </c>
      <c r="G78" s="29" t="n">
        <v>4</v>
      </c>
      <c r="H78" s="4" t="n">
        <v>2</v>
      </c>
      <c r="I78" s="4" t="n">
        <v>1</v>
      </c>
      <c r="J78" s="4" t="n">
        <v>12</v>
      </c>
      <c r="K78" s="4" t="n">
        <v>6</v>
      </c>
      <c r="L78" s="4" t="n">
        <v>6</v>
      </c>
      <c r="M78" s="4" t="n">
        <v>2</v>
      </c>
      <c r="N78" s="4" t="n">
        <v>2</v>
      </c>
      <c r="O78" s="3" t="n"/>
      <c r="P78" s="4" t="n"/>
    </row>
    <row r="79">
      <c r="D79" s="4" t="inlineStr">
        <is>
          <t>Komatsu PC2000</t>
        </is>
      </c>
      <c r="E79" s="4" t="inlineStr">
        <is>
          <t>1x125lbs + 1x30lbs</t>
        </is>
      </c>
      <c r="F79" s="36" t="inlineStr">
        <is>
          <t>1x15gal</t>
        </is>
      </c>
      <c r="G79" s="29" t="n">
        <v>4</v>
      </c>
      <c r="H79" s="4" t="n">
        <v>2</v>
      </c>
      <c r="I79" s="4" t="n">
        <v>1</v>
      </c>
      <c r="J79" s="4" t="n">
        <v>12</v>
      </c>
      <c r="K79" s="4" t="n">
        <v>6</v>
      </c>
      <c r="L79" s="4" t="n">
        <v>6</v>
      </c>
      <c r="M79" s="4" t="n">
        <v>6</v>
      </c>
      <c r="N79" s="4" t="n">
        <v>3</v>
      </c>
      <c r="O79" s="3" t="n"/>
      <c r="P79" s="4" t="n"/>
    </row>
    <row r="80">
      <c r="D80" s="4" t="inlineStr">
        <is>
          <t>Komatsu PC4000</t>
        </is>
      </c>
      <c r="E80" s="4" t="inlineStr">
        <is>
          <t>3X125lbs</t>
        </is>
      </c>
      <c r="F80" s="36" t="inlineStr">
        <is>
          <t>2x30gal+1x15gal</t>
        </is>
      </c>
      <c r="G80" s="29" t="n">
        <v>4</v>
      </c>
      <c r="H80" s="4" t="n">
        <v>2</v>
      </c>
      <c r="I80" s="4" t="n">
        <v>4</v>
      </c>
      <c r="J80" s="4" t="n">
        <v>18</v>
      </c>
      <c r="K80" s="4" t="n">
        <v>12</v>
      </c>
      <c r="L80" s="4" t="n">
        <v>12</v>
      </c>
      <c r="M80" s="4" t="n">
        <v>12</v>
      </c>
      <c r="N80" s="4" t="n">
        <v>6</v>
      </c>
      <c r="O80" s="3" t="n"/>
      <c r="P80" s="4" t="n"/>
    </row>
    <row r="81">
      <c r="D81" s="4" t="inlineStr">
        <is>
          <t>Komatsu WA500</t>
        </is>
      </c>
      <c r="E81" s="4" t="inlineStr">
        <is>
          <t>1x60lbs</t>
        </is>
      </c>
      <c r="F81" s="36" t="inlineStr">
        <is>
          <t>1x5gal</t>
        </is>
      </c>
      <c r="G81" s="29" t="n">
        <v>3</v>
      </c>
      <c r="H81" s="4" t="n">
        <v>2</v>
      </c>
      <c r="I81" s="4" t="n">
        <v>0</v>
      </c>
      <c r="J81" s="4" t="n">
        <v>6</v>
      </c>
      <c r="K81" s="4" t="n">
        <v>6</v>
      </c>
      <c r="L81" s="4" t="n">
        <v>0</v>
      </c>
      <c r="M81" s="4" t="n">
        <v>3</v>
      </c>
      <c r="N81" s="4" t="n">
        <v>0</v>
      </c>
      <c r="O81" s="3" t="n"/>
      <c r="P81" s="4" t="n"/>
    </row>
    <row r="82">
      <c r="D82" s="4" t="inlineStr">
        <is>
          <t>Komatsu WD600</t>
        </is>
      </c>
      <c r="E82" s="4" t="inlineStr">
        <is>
          <t>1x60lbs + 1x30lbs</t>
        </is>
      </c>
      <c r="F82" s="36" t="inlineStr">
        <is>
          <t>1x5gal</t>
        </is>
      </c>
      <c r="G82" s="29" t="n">
        <v>3</v>
      </c>
      <c r="H82" s="4" t="n">
        <v>2</v>
      </c>
      <c r="I82" s="4" t="n">
        <v>1</v>
      </c>
      <c r="J82" s="4" t="n">
        <v>6</v>
      </c>
      <c r="K82" s="4" t="n">
        <v>3</v>
      </c>
      <c r="L82" s="4" t="n">
        <v>3</v>
      </c>
      <c r="M82" s="4" t="n">
        <v>3</v>
      </c>
      <c r="N82" s="4" t="n">
        <v>0</v>
      </c>
      <c r="O82" s="3" t="n"/>
      <c r="P82" s="4" t="n"/>
    </row>
    <row r="83">
      <c r="D83" s="4" t="inlineStr">
        <is>
          <t>LeTourneau L1350II</t>
        </is>
      </c>
      <c r="E83" s="4" t="inlineStr">
        <is>
          <t>3x60lbs</t>
        </is>
      </c>
      <c r="F83" s="36" t="inlineStr">
        <is>
          <t>2x5gal</t>
        </is>
      </c>
      <c r="G83" s="29" t="n">
        <v>4</v>
      </c>
      <c r="H83" s="4" t="n">
        <v>3</v>
      </c>
      <c r="I83" s="4" t="n">
        <v>2</v>
      </c>
      <c r="J83" s="4" t="n">
        <v>12</v>
      </c>
      <c r="K83" s="4" t="n">
        <v>12</v>
      </c>
      <c r="L83" s="4" t="n">
        <v>6</v>
      </c>
      <c r="M83" s="4" t="n">
        <v>4</v>
      </c>
      <c r="N83" s="4" t="n">
        <v>3</v>
      </c>
      <c r="O83" s="3" t="n"/>
      <c r="P83" s="4" t="n"/>
    </row>
    <row r="84">
      <c r="D84" s="4" t="inlineStr">
        <is>
          <t>LeTourneau L1850</t>
        </is>
      </c>
      <c r="E84" s="4" t="inlineStr">
        <is>
          <t>1x125lbs</t>
        </is>
      </c>
      <c r="F84" s="36" t="inlineStr">
        <is>
          <t>1x15gal</t>
        </is>
      </c>
      <c r="G84" s="29" t="n">
        <v>4</v>
      </c>
      <c r="H84" s="4" t="n">
        <v>3</v>
      </c>
      <c r="I84" s="4" t="n">
        <v>2</v>
      </c>
      <c r="J84" s="4" t="n">
        <v>12</v>
      </c>
      <c r="K84" s="4" t="n">
        <v>12</v>
      </c>
      <c r="L84" s="4" t="n">
        <v>6</v>
      </c>
      <c r="M84" s="4" t="n">
        <v>6</v>
      </c>
      <c r="N84" s="4" t="n">
        <v>3</v>
      </c>
      <c r="O84" s="3" t="n"/>
      <c r="P84" s="4" t="n"/>
    </row>
    <row r="85">
      <c r="D85" s="4" t="inlineStr">
        <is>
          <t>MANITOU</t>
        </is>
      </c>
      <c r="E85" s="4" t="inlineStr">
        <is>
          <t>1x30lbs</t>
        </is>
      </c>
      <c r="F85" s="36" t="inlineStr">
        <is>
          <t>1x5gal</t>
        </is>
      </c>
      <c r="G85" s="29" t="n">
        <v>2</v>
      </c>
      <c r="H85" s="4" t="n">
        <v>0</v>
      </c>
      <c r="I85" s="4" t="n">
        <v>1</v>
      </c>
      <c r="J85" s="4" t="n">
        <v>3</v>
      </c>
      <c r="K85" s="4" t="n">
        <v>0</v>
      </c>
      <c r="L85" s="4" t="n">
        <v>3</v>
      </c>
      <c r="M85" s="4" t="n">
        <v>2</v>
      </c>
      <c r="N85" s="4" t="n">
        <v>0</v>
      </c>
      <c r="O85" s="3" t="n"/>
      <c r="P85" s="4" t="n"/>
    </row>
    <row r="86">
      <c r="D86" s="4" t="inlineStr">
        <is>
          <t>PV-275</t>
        </is>
      </c>
      <c r="E86" s="4" t="inlineStr">
        <is>
          <t>1x125lbs</t>
        </is>
      </c>
      <c r="F86" s="36" t="inlineStr">
        <is>
          <t>1x15gal</t>
        </is>
      </c>
      <c r="G86" s="29" t="n">
        <v>6</v>
      </c>
      <c r="H86" s="4" t="n">
        <v>2</v>
      </c>
      <c r="I86" s="4" t="n">
        <v>0</v>
      </c>
      <c r="J86" s="4" t="n">
        <v>12</v>
      </c>
      <c r="K86" s="4" t="n">
        <v>0</v>
      </c>
      <c r="L86" s="4" t="n">
        <v>6</v>
      </c>
      <c r="M86" s="4" t="n">
        <v>4</v>
      </c>
      <c r="N86" s="4" t="n">
        <v>0</v>
      </c>
      <c r="O86" s="3" t="n">
        <v>2</v>
      </c>
      <c r="P86" s="4" t="n"/>
    </row>
    <row r="87">
      <c r="D87" s="4" t="inlineStr">
        <is>
          <t>RH170</t>
        </is>
      </c>
      <c r="E87" s="4" t="n">
        <v>0</v>
      </c>
      <c r="F87" s="36" t="n">
        <v>0</v>
      </c>
      <c r="G87" s="29" t="n">
        <v>0</v>
      </c>
      <c r="H87" s="4" t="n">
        <v>0</v>
      </c>
      <c r="I87" s="4" t="n">
        <v>0</v>
      </c>
      <c r="J87" s="4" t="n">
        <v>0</v>
      </c>
      <c r="K87" s="4" t="n">
        <v>0</v>
      </c>
      <c r="L87" s="4" t="n">
        <v>0</v>
      </c>
      <c r="M87" s="4" t="n">
        <v>0</v>
      </c>
      <c r="N87" s="4" t="n">
        <v>0</v>
      </c>
      <c r="O87" s="3" t="n"/>
      <c r="P87" s="4" t="n"/>
    </row>
    <row r="88">
      <c r="D88" s="4" t="inlineStr">
        <is>
          <t>SANSSR200C-8H</t>
        </is>
      </c>
      <c r="E88" s="4" t="inlineStr">
        <is>
          <t>1x30lbs</t>
        </is>
      </c>
      <c r="F88" s="36" t="n">
        <v>0</v>
      </c>
      <c r="G88" s="29" t="n">
        <v>2</v>
      </c>
      <c r="H88" s="4" t="n">
        <v>1</v>
      </c>
      <c r="I88" s="4" t="n">
        <v>0</v>
      </c>
      <c r="J88" s="4" t="n">
        <v>4</v>
      </c>
      <c r="K88" s="4" t="n">
        <v>2</v>
      </c>
      <c r="L88" s="4" t="n">
        <v>0</v>
      </c>
      <c r="M88" s="4" t="n">
        <v>0</v>
      </c>
      <c r="N88" s="4" t="n">
        <v>0</v>
      </c>
      <c r="O88" s="3" t="n"/>
      <c r="P88" s="4" t="n"/>
    </row>
    <row r="89">
      <c r="A89" t="inlineStr">
        <is>
          <t>CONCEIÇÃO</t>
        </is>
      </c>
      <c r="B89" s="20" t="inlineStr">
        <is>
          <t>AFEX</t>
        </is>
      </c>
      <c r="C89" s="20" t="inlineStr">
        <is>
          <t>CATERPILLAR</t>
        </is>
      </c>
      <c r="D89" s="4" t="inlineStr">
        <is>
          <t>SEM INFORMAÇÕES</t>
        </is>
      </c>
      <c r="E89" s="4" t="n">
        <v>0</v>
      </c>
      <c r="F89" s="36" t="n">
        <v>0</v>
      </c>
      <c r="G89" s="29" t="n">
        <v>0</v>
      </c>
      <c r="H89" s="4" t="n">
        <v>0</v>
      </c>
      <c r="I89" s="4" t="n">
        <v>0</v>
      </c>
      <c r="J89" s="4" t="n">
        <v>0</v>
      </c>
      <c r="K89" s="4" t="n">
        <v>0</v>
      </c>
      <c r="L89" s="4" t="n">
        <v>0</v>
      </c>
      <c r="M89" s="4" t="n">
        <v>0</v>
      </c>
      <c r="N89" s="4" t="n">
        <v>0</v>
      </c>
      <c r="O89" s="3" t="n"/>
      <c r="P89" s="4" t="n"/>
    </row>
    <row r="90">
      <c r="D90" s="4" t="inlineStr">
        <is>
          <t>XCMG GR3505</t>
        </is>
      </c>
      <c r="E90" s="4" t="inlineStr">
        <is>
          <t>1x60lbs</t>
        </is>
      </c>
      <c r="F90" s="36" t="inlineStr">
        <is>
          <t>1x5gal</t>
        </is>
      </c>
      <c r="G90" s="29" t="n">
        <v>3</v>
      </c>
      <c r="H90" s="4" t="n">
        <v>1</v>
      </c>
      <c r="I90" s="4" t="n">
        <v>1</v>
      </c>
      <c r="J90" s="4" t="n">
        <v>6</v>
      </c>
      <c r="K90" s="4" t="n">
        <v>3</v>
      </c>
      <c r="L90" s="4" t="n">
        <v>3</v>
      </c>
      <c r="M90" s="4" t="n">
        <v>2</v>
      </c>
      <c r="N90" s="4" t="n">
        <v>0</v>
      </c>
      <c r="O90" s="3" t="n"/>
      <c r="P90" s="4" t="n"/>
    </row>
    <row r="91">
      <c r="D91" s="4" t="inlineStr">
        <is>
          <t>XCMG GR3505T</t>
        </is>
      </c>
      <c r="E91" s="4" t="inlineStr">
        <is>
          <t>1x60lbs</t>
        </is>
      </c>
      <c r="F91" s="36" t="inlineStr">
        <is>
          <t>1x5gal</t>
        </is>
      </c>
      <c r="G91" s="29" t="n">
        <v>3</v>
      </c>
      <c r="H91" s="4" t="n">
        <v>1</v>
      </c>
      <c r="I91" s="4" t="n">
        <v>1</v>
      </c>
      <c r="J91" s="4" t="n">
        <v>6</v>
      </c>
      <c r="K91" s="4" t="n">
        <v>3</v>
      </c>
      <c r="L91" s="4" t="n">
        <v>3</v>
      </c>
      <c r="M91" s="4" t="n">
        <v>2</v>
      </c>
      <c r="N91" s="4" t="n">
        <v>0</v>
      </c>
      <c r="O91" s="3" t="n"/>
      <c r="P91" s="4" t="n"/>
    </row>
    <row r="92">
      <c r="D92" s="43" t="inlineStr">
        <is>
          <t>MHT-X 10230</t>
        </is>
      </c>
      <c r="E92" s="43" t="inlineStr">
        <is>
          <t>1x30lbs</t>
        </is>
      </c>
      <c r="F92" s="44" t="inlineStr">
        <is>
          <t>1x5gal</t>
        </is>
      </c>
      <c r="G92" s="45" t="n"/>
      <c r="H92" s="43" t="n"/>
      <c r="I92" s="43" t="n"/>
      <c r="J92" s="43" t="n"/>
      <c r="K92" s="43" t="n"/>
      <c r="L92" s="43" t="n"/>
      <c r="M92" s="43" t="n"/>
      <c r="N92" s="43" t="n"/>
      <c r="O92" s="46" t="n"/>
      <c r="P92" s="4" t="n"/>
    </row>
    <row r="93">
      <c r="D93" s="43" t="inlineStr">
        <is>
          <t>CAT 844K</t>
        </is>
      </c>
      <c r="E93" s="43" t="inlineStr">
        <is>
          <t>3x30lbs</t>
        </is>
      </c>
      <c r="F93" s="44" t="inlineStr">
        <is>
          <t>1x5gal</t>
        </is>
      </c>
      <c r="G93" s="45" t="n">
        <v>3</v>
      </c>
      <c r="H93" s="43" t="n">
        <v>2</v>
      </c>
      <c r="I93" s="43" t="n">
        <v>1</v>
      </c>
      <c r="J93" s="43" t="n">
        <v>6</v>
      </c>
      <c r="K93" s="43" t="n">
        <v>6</v>
      </c>
      <c r="L93" s="43" t="n">
        <v>3</v>
      </c>
      <c r="M93" s="43" t="n">
        <v>2</v>
      </c>
      <c r="N93" s="43" t="n">
        <v>2</v>
      </c>
      <c r="O93" s="46" t="n">
        <v>0</v>
      </c>
      <c r="P93" s="4" t="n"/>
    </row>
    <row r="94" customFormat="1" s="22">
      <c r="D94" s="47" t="inlineStr">
        <is>
          <t>Komatsu D375A</t>
        </is>
      </c>
      <c r="E94" s="47" t="inlineStr">
        <is>
          <t>3x30lbs</t>
        </is>
      </c>
      <c r="F94" s="47" t="inlineStr">
        <is>
          <t>1x5gal</t>
        </is>
      </c>
      <c r="G94" s="48" t="n">
        <v>4</v>
      </c>
      <c r="H94" s="47" t="n">
        <v>3</v>
      </c>
      <c r="I94" s="47" t="n">
        <v>0</v>
      </c>
      <c r="J94" s="47" t="n">
        <v>12</v>
      </c>
      <c r="K94" s="47" t="n">
        <v>6</v>
      </c>
      <c r="L94" s="47" t="n">
        <v>0</v>
      </c>
      <c r="M94" s="47" t="n">
        <v>4</v>
      </c>
      <c r="N94" s="47" t="n">
        <v>0</v>
      </c>
      <c r="O94" s="49" t="n">
        <v>0</v>
      </c>
      <c r="P94" s="51" t="n"/>
    </row>
    <row r="95">
      <c r="D95" s="42" t="inlineStr">
        <is>
          <t>KOMATSU D375A-6</t>
        </is>
      </c>
      <c r="E95" s="47" t="inlineStr">
        <is>
          <t>3x30lbs</t>
        </is>
      </c>
      <c r="F95" s="47" t="inlineStr">
        <is>
          <t>1x5gal</t>
        </is>
      </c>
      <c r="G95" s="45" t="n">
        <v>4</v>
      </c>
      <c r="H95" s="43" t="n">
        <v>3</v>
      </c>
      <c r="I95" s="43" t="n">
        <v>0</v>
      </c>
      <c r="J95" s="43" t="n">
        <v>12</v>
      </c>
      <c r="K95" s="43" t="n">
        <v>6</v>
      </c>
      <c r="L95" s="43" t="n">
        <v>0</v>
      </c>
      <c r="M95" s="43" t="n">
        <v>4</v>
      </c>
      <c r="N95" s="43" t="n">
        <v>0</v>
      </c>
      <c r="O95" s="46" t="n">
        <v>0</v>
      </c>
      <c r="P95" s="4" t="n"/>
    </row>
    <row r="96">
      <c r="D96" s="50" t="inlineStr">
        <is>
          <t>KOMATSU D375A-6R</t>
        </is>
      </c>
      <c r="E96" s="47" t="inlineStr">
        <is>
          <t>3x30lbs</t>
        </is>
      </c>
      <c r="F96" s="47" t="inlineStr">
        <is>
          <t>1x5gal</t>
        </is>
      </c>
      <c r="G96" s="45" t="n">
        <v>4</v>
      </c>
      <c r="H96" s="43" t="n">
        <v>3</v>
      </c>
      <c r="I96" s="43" t="n">
        <v>0</v>
      </c>
      <c r="J96" s="43" t="n">
        <v>12</v>
      </c>
      <c r="K96" s="43" t="n">
        <v>6</v>
      </c>
      <c r="L96" s="43" t="n">
        <v>0</v>
      </c>
      <c r="M96" s="43" t="n">
        <v>4</v>
      </c>
      <c r="N96" s="43" t="n">
        <v>0</v>
      </c>
      <c r="O96" s="46" t="n">
        <v>0</v>
      </c>
      <c r="P96" s="4" t="n"/>
    </row>
    <row r="97">
      <c r="D97" s="50" t="inlineStr">
        <is>
          <t>CAT 834H</t>
        </is>
      </c>
      <c r="E97" s="43" t="inlineStr">
        <is>
          <t>3x30lbs</t>
        </is>
      </c>
      <c r="F97" s="44" t="n">
        <v>0</v>
      </c>
      <c r="G97" s="45" t="n">
        <v>3</v>
      </c>
      <c r="H97" s="43" t="n">
        <v>2</v>
      </c>
      <c r="I97" s="43" t="n">
        <v>1</v>
      </c>
      <c r="J97" s="43" t="n">
        <v>6</v>
      </c>
      <c r="K97" s="43" t="n">
        <v>4</v>
      </c>
      <c r="L97" s="43" t="n">
        <v>3</v>
      </c>
      <c r="M97" s="43" t="n">
        <v>0</v>
      </c>
      <c r="N97" s="43" t="n">
        <v>0</v>
      </c>
      <c r="O97" s="46" t="n">
        <v>0</v>
      </c>
      <c r="P97" s="4" t="n"/>
    </row>
    <row r="98">
      <c r="D98" s="50" t="inlineStr">
        <is>
          <t>T45</t>
        </is>
      </c>
      <c r="E98" s="43" t="inlineStr">
        <is>
          <t>1x60lbs</t>
        </is>
      </c>
      <c r="F98" s="44" t="inlineStr">
        <is>
          <t>1x5gal</t>
        </is>
      </c>
      <c r="G98" s="45" t="n">
        <v>2</v>
      </c>
      <c r="H98" s="43" t="n">
        <v>0</v>
      </c>
      <c r="I98" s="43" t="n">
        <v>1</v>
      </c>
      <c r="J98" s="43" t="n">
        <v>6</v>
      </c>
      <c r="K98" s="43" t="n">
        <v>0</v>
      </c>
      <c r="L98" s="43" t="n">
        <v>3</v>
      </c>
      <c r="M98" s="43" t="n">
        <v>2</v>
      </c>
      <c r="N98" s="43" t="n">
        <v>0</v>
      </c>
      <c r="O98" s="46" t="n">
        <v>2</v>
      </c>
      <c r="P98" s="4" t="n"/>
    </row>
    <row r="99">
      <c r="D99" s="50" t="inlineStr">
        <is>
          <t>KOMATSU D375A-5</t>
        </is>
      </c>
      <c r="E99" s="47" t="inlineStr">
        <is>
          <t>3x30lbs</t>
        </is>
      </c>
      <c r="F99" s="47" t="inlineStr">
        <is>
          <t>1x5gal</t>
        </is>
      </c>
      <c r="G99" s="48" t="n">
        <v>4</v>
      </c>
      <c r="H99" s="47" t="n">
        <v>3</v>
      </c>
      <c r="I99" s="47" t="n">
        <v>0</v>
      </c>
      <c r="J99" s="47" t="n">
        <v>12</v>
      </c>
      <c r="K99" s="47" t="n">
        <v>6</v>
      </c>
      <c r="L99" s="47" t="n">
        <v>0</v>
      </c>
      <c r="M99" s="47" t="n">
        <v>4</v>
      </c>
      <c r="N99" s="47" t="n">
        <v>0</v>
      </c>
      <c r="O99" s="49" t="n">
        <v>0</v>
      </c>
      <c r="P99" s="4" t="n"/>
    </row>
    <row r="100">
      <c r="D100" s="43" t="inlineStr">
        <is>
          <t>XCMG LW1200</t>
        </is>
      </c>
      <c r="E100" s="43" t="inlineStr">
        <is>
          <t>1x60lbs + 1x30lbs</t>
        </is>
      </c>
      <c r="F100" s="44" t="inlineStr">
        <is>
          <t>1x5gal</t>
        </is>
      </c>
      <c r="G100" s="45" t="n">
        <v>3</v>
      </c>
      <c r="H100" s="43" t="n">
        <v>2</v>
      </c>
      <c r="I100" s="43" t="n">
        <v>1</v>
      </c>
      <c r="J100" s="43" t="n">
        <v>6</v>
      </c>
      <c r="K100" s="43" t="n">
        <v>6</v>
      </c>
      <c r="L100" s="43" t="n">
        <v>3</v>
      </c>
      <c r="M100" s="43" t="n">
        <v>2</v>
      </c>
      <c r="N100" s="43" t="n">
        <v>2</v>
      </c>
      <c r="O100" s="46" t="n"/>
      <c r="P100" s="43" t="n"/>
    </row>
    <row r="101">
      <c r="D101" s="43" t="inlineStr">
        <is>
          <t>CAT MD6240</t>
        </is>
      </c>
      <c r="E101" s="4" t="inlineStr">
        <is>
          <t>1x125lbs</t>
        </is>
      </c>
      <c r="F101" s="36" t="inlineStr">
        <is>
          <t>1x15gal</t>
        </is>
      </c>
      <c r="G101" s="29" t="n">
        <v>6</v>
      </c>
      <c r="H101" s="4" t="n">
        <v>0</v>
      </c>
      <c r="I101" s="4" t="n">
        <v>2</v>
      </c>
      <c r="J101" s="4" t="n">
        <v>12</v>
      </c>
      <c r="K101" s="4" t="n">
        <v>0</v>
      </c>
      <c r="L101" s="4" t="n">
        <v>6</v>
      </c>
      <c r="M101" s="4" t="n">
        <v>4</v>
      </c>
      <c r="N101" s="4" t="n">
        <v>0</v>
      </c>
      <c r="O101" s="3" t="n">
        <v>2</v>
      </c>
      <c r="P101" s="43" t="n"/>
    </row>
    <row r="102">
      <c r="D102" s="43" t="inlineStr">
        <is>
          <t>CAT MD6250</t>
        </is>
      </c>
      <c r="E102" s="4" t="inlineStr">
        <is>
          <t>1x125lbs</t>
        </is>
      </c>
      <c r="F102" s="36" t="inlineStr">
        <is>
          <t>1x15gal</t>
        </is>
      </c>
      <c r="G102" s="29" t="n">
        <v>6</v>
      </c>
      <c r="H102" s="4" t="n">
        <v>0</v>
      </c>
      <c r="I102" s="4" t="n">
        <v>2</v>
      </c>
      <c r="J102" s="4" t="n">
        <v>12</v>
      </c>
      <c r="K102" s="4" t="n">
        <v>0</v>
      </c>
      <c r="L102" s="4" t="n">
        <v>6</v>
      </c>
      <c r="M102" s="4" t="n">
        <v>4</v>
      </c>
      <c r="N102" s="4" t="n">
        <v>0</v>
      </c>
      <c r="O102" s="3" t="n">
        <v>2</v>
      </c>
      <c r="P102" s="43" t="n"/>
    </row>
    <row r="103">
      <c r="D103" s="50" t="inlineStr">
        <is>
          <t>SY500H</t>
        </is>
      </c>
      <c r="E103" s="43" t="inlineStr">
        <is>
          <t>1x60lbs</t>
        </is>
      </c>
      <c r="F103" s="44" t="n">
        <v>0</v>
      </c>
      <c r="G103" s="45" t="n">
        <v>3</v>
      </c>
      <c r="H103" s="43" t="n">
        <v>0</v>
      </c>
      <c r="I103" s="43" t="n">
        <v>1</v>
      </c>
      <c r="J103" s="43" t="n">
        <v>6</v>
      </c>
      <c r="K103" s="43" t="n">
        <v>0</v>
      </c>
      <c r="L103" s="43" t="n">
        <v>3</v>
      </c>
      <c r="M103" s="43" t="n">
        <v>0</v>
      </c>
      <c r="N103" s="43" t="n">
        <v>0</v>
      </c>
      <c r="O103" s="46" t="n">
        <v>0</v>
      </c>
      <c r="P103" s="43" t="n"/>
    </row>
    <row r="104">
      <c r="D104" s="43" t="inlineStr">
        <is>
          <t>CAT 993K</t>
        </is>
      </c>
      <c r="E104" s="43" t="inlineStr">
        <is>
          <t>2x60lbs</t>
        </is>
      </c>
      <c r="F104" s="44" t="inlineStr">
        <is>
          <t>1x5gal</t>
        </is>
      </c>
      <c r="G104" s="45" t="n">
        <v>4</v>
      </c>
      <c r="H104" s="43" t="n">
        <v>2</v>
      </c>
      <c r="I104" s="43" t="n">
        <v>1</v>
      </c>
      <c r="J104" s="43" t="n">
        <v>10</v>
      </c>
      <c r="K104" s="43" t="n">
        <v>10</v>
      </c>
      <c r="L104" s="43" t="n">
        <v>0</v>
      </c>
      <c r="M104" s="43" t="n">
        <v>2</v>
      </c>
      <c r="N104" s="43" t="n">
        <v>2</v>
      </c>
      <c r="O104" s="46" t="n">
        <v>0</v>
      </c>
      <c r="P104" s="43" t="n"/>
    </row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</sheetData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1">
    <outlinePr summaryBelow="1" summaryRight="1"/>
    <pageSetUpPr/>
  </sheetPr>
  <dimension ref="A1:BF241"/>
  <sheetViews>
    <sheetView topLeftCell="AI34" zoomScale="55" zoomScaleNormal="55" workbookViewId="0">
      <selection activeCell="O6" sqref="O6"/>
    </sheetView>
  </sheetViews>
  <sheetFormatPr baseColWidth="8" defaultColWidth="17.7109375" defaultRowHeight="21"/>
  <cols>
    <col width="15" customWidth="1" min="1" max="5"/>
    <col width="14" customWidth="1" min="2" max="2"/>
    <col width="58" customWidth="1" min="3" max="3"/>
    <col width="17" customWidth="1" min="4" max="4"/>
    <col width="13" customWidth="1" min="5" max="5"/>
    <col width="20" bestFit="1" customWidth="1" min="6" max="6"/>
    <col width="83" customWidth="1" min="7" max="7"/>
    <col width="30" customWidth="1" min="8" max="8"/>
    <col width="112" bestFit="1" customWidth="1" min="9" max="9"/>
    <col width="70" customWidth="1" min="10" max="10"/>
    <col width="27" bestFit="1" customWidth="1" style="9" min="11" max="11"/>
    <col width="53" bestFit="1" customWidth="1" min="12" max="12"/>
    <col width="70" customWidth="1" min="13" max="13"/>
    <col width="24" customWidth="1" min="14" max="14"/>
    <col width="70" customWidth="1" min="15" max="15"/>
    <col width="30" customWidth="1" min="16" max="16"/>
    <col width="70" customWidth="1" min="17" max="17"/>
    <col width="23" customWidth="1" min="18" max="18"/>
    <col width="205" customWidth="1" min="19" max="20"/>
    <col width="70" customWidth="1" min="20" max="20"/>
    <col width="12" customWidth="1" min="21" max="21"/>
    <col width="70" customWidth="1" min="22" max="24"/>
    <col width="12" customWidth="1" min="23" max="23"/>
    <col width="70" customWidth="1" min="24" max="24"/>
    <col width="12" customWidth="1" min="25" max="25"/>
    <col width="121" customWidth="1" min="26" max="26"/>
    <col width="71" customWidth="1" min="27" max="27"/>
    <col width="12" customWidth="1" min="28" max="28"/>
    <col width="71" customWidth="1" min="29" max="29"/>
    <col width="12" customWidth="1" min="30" max="30"/>
    <col width="71" customWidth="1" min="31" max="31"/>
    <col width="12" customWidth="1" min="32" max="32"/>
    <col width="133" customWidth="1" min="33" max="33"/>
    <col width="46" customWidth="1" min="34" max="34"/>
    <col width="31" customWidth="1" min="35" max="35"/>
    <col width="57" customWidth="1" min="36" max="36"/>
    <col width="383" bestFit="1" customWidth="1" min="37" max="37"/>
    <col width="68" bestFit="1" customWidth="1" style="66" min="38" max="38"/>
    <col width="255" customWidth="1" min="39" max="39"/>
    <col width="187" customWidth="1" min="40" max="40"/>
    <col width="12" customWidth="1" min="41" max="41"/>
    <col width="187" bestFit="1" customWidth="1" style="55" min="42" max="42"/>
    <col width="63" customWidth="1" min="43" max="43"/>
    <col width="187" bestFit="1" customWidth="1" min="44" max="44"/>
    <col width="41" customWidth="1" min="45" max="45"/>
    <col width="2" customWidth="1" min="46" max="46"/>
    <col width="2" customWidth="1" min="47" max="53"/>
    <col width="2" customWidth="1" min="48" max="48"/>
    <col width="2" customWidth="1" min="49" max="49"/>
    <col width="2" customWidth="1" min="50" max="50"/>
    <col width="2" customWidth="1" min="51" max="51"/>
    <col width="35" customWidth="1" min="52" max="52"/>
    <col width="53" customWidth="1" min="53" max="53"/>
    <col width="15" customWidth="1" min="54" max="54"/>
    <col width="16" customWidth="1" min="55" max="55"/>
    <col width="15" customWidth="1" min="56" max="56"/>
    <col width="16" customWidth="1" min="57" max="57"/>
    <col width="17" customWidth="1" min="58" max="58"/>
  </cols>
  <sheetData>
    <row r="1" ht="59.25" customHeight="1" thickBot="1">
      <c r="B1" s="9" t="n"/>
      <c r="C1" s="10" t="inlineStr">
        <is>
          <t xml:space="preserve">DIAGNOSTICO DE FROTA EQUIPAMENTOS CONTRATO FRANZEN VALE </t>
        </is>
      </c>
      <c r="D1" s="10" t="n"/>
      <c r="E1" s="10" t="n"/>
      <c r="F1" s="11" t="n"/>
      <c r="G1" s="12" t="n"/>
      <c r="H1" s="12" t="n"/>
      <c r="I1" s="10" t="n"/>
      <c r="J1" s="10" t="n"/>
      <c r="K1" s="10" t="n"/>
      <c r="L1" s="10" t="n"/>
      <c r="M1" s="10" t="n"/>
      <c r="N1" s="10" t="n"/>
      <c r="O1" s="10" t="n"/>
      <c r="P1" s="10" t="n"/>
      <c r="Q1" s="10" t="n"/>
      <c r="R1" s="10" t="n"/>
      <c r="S1" s="10" t="n"/>
      <c r="T1" s="10" t="n"/>
      <c r="U1" s="10" t="n"/>
      <c r="V1" s="10" t="n"/>
      <c r="W1" s="10" t="n"/>
      <c r="X1" s="10" t="n"/>
      <c r="Y1" s="10" t="n"/>
      <c r="Z1" s="10" t="n"/>
      <c r="AA1" s="10" t="n"/>
      <c r="AB1" s="10" t="n"/>
      <c r="AC1" s="10" t="n"/>
      <c r="AD1" s="10" t="n"/>
      <c r="AE1" s="10" t="n"/>
      <c r="AF1" s="10" t="n"/>
      <c r="AG1" s="19" t="n"/>
      <c r="AH1" s="19" t="n"/>
      <c r="AI1" s="19" t="n"/>
      <c r="AJ1" s="10" t="n"/>
      <c r="AN1" s="10" t="n"/>
      <c r="AP1" s="54" t="n"/>
    </row>
    <row r="2" ht="23.25" customHeight="1">
      <c r="A2" s="166" t="inlineStr">
        <is>
          <t xml:space="preserve">EQUIPAMENTOS </t>
        </is>
      </c>
      <c r="B2" s="167" t="n"/>
      <c r="C2" s="167" t="n"/>
      <c r="D2" s="167" t="n"/>
      <c r="E2" s="168" t="n"/>
      <c r="F2" s="160" t="inlineStr">
        <is>
          <t>AGENTES EXTINTORES</t>
        </is>
      </c>
      <c r="G2" s="167" t="n"/>
      <c r="H2" s="167" t="n"/>
      <c r="I2" s="167" t="n"/>
      <c r="J2" s="167" t="n"/>
      <c r="K2" s="86" t="n"/>
      <c r="L2" s="169" t="inlineStr">
        <is>
          <t>SENSORES</t>
        </is>
      </c>
      <c r="M2" s="170" t="n"/>
      <c r="N2" s="170" t="n"/>
      <c r="O2" s="170" t="n"/>
      <c r="P2" s="170" t="n"/>
      <c r="Q2" s="170" t="n"/>
      <c r="R2" s="171" t="n"/>
      <c r="S2" s="165" t="inlineStr">
        <is>
          <t>BICOS PQS</t>
        </is>
      </c>
      <c r="T2" s="167" t="n"/>
      <c r="U2" s="167" t="n"/>
      <c r="V2" s="167" t="n"/>
      <c r="W2" s="167" t="n"/>
      <c r="X2" s="167" t="n"/>
      <c r="Y2" s="167" t="n"/>
      <c r="Z2" s="154" t="inlineStr">
        <is>
          <t>BICOS LIQUIDO</t>
        </is>
      </c>
      <c r="AA2" s="167" t="n"/>
      <c r="AB2" s="167" t="n"/>
      <c r="AC2" s="167" t="n"/>
      <c r="AD2" s="87" t="n"/>
      <c r="AE2" s="87" t="n"/>
      <c r="AF2" s="87" t="n"/>
      <c r="AG2" s="88" t="n"/>
      <c r="AH2" s="88" t="n"/>
      <c r="AI2" s="88" t="n"/>
      <c r="AJ2" s="89" t="n"/>
      <c r="AK2" s="90" t="n"/>
      <c r="AL2" s="90" t="n"/>
      <c r="AM2" s="90" t="n"/>
      <c r="AN2" s="16" t="n"/>
      <c r="AO2" s="17" t="inlineStr">
        <is>
          <t>Franzen123</t>
        </is>
      </c>
      <c r="AP2" s="54" t="n"/>
      <c r="AS2">
        <f t="array" ref="AS2">+AS:BAS:BB</f>
        <v/>
      </c>
    </row>
    <row r="3" ht="7.5" customHeight="1">
      <c r="A3" s="73" t="n"/>
      <c r="B3" s="74" t="n"/>
      <c r="C3" s="74" t="n"/>
      <c r="D3" s="74" t="n"/>
      <c r="E3" s="93" t="n"/>
      <c r="F3" s="155" t="n"/>
      <c r="G3" s="156" t="n"/>
      <c r="H3" s="156" t="n"/>
      <c r="I3" s="156" t="n"/>
      <c r="J3" s="156" t="n"/>
      <c r="K3" s="86" t="n"/>
      <c r="L3" s="113" t="n"/>
      <c r="M3" s="71" t="n"/>
      <c r="N3" s="71" t="n"/>
      <c r="O3" s="71" t="n"/>
      <c r="P3" s="71" t="n"/>
      <c r="Q3" s="71" t="n"/>
      <c r="R3" s="114" t="n"/>
      <c r="S3" s="13" t="n"/>
      <c r="T3" s="13" t="n"/>
      <c r="U3" s="13" t="n"/>
      <c r="V3" s="13" t="n"/>
      <c r="W3" s="13" t="n"/>
      <c r="X3" s="13" t="n"/>
      <c r="Y3" s="13" t="n"/>
      <c r="Z3" s="14" t="n"/>
      <c r="AA3" s="14" t="n"/>
      <c r="AB3" s="14" t="n"/>
      <c r="AC3" s="14" t="n"/>
      <c r="AD3" s="15" t="n"/>
      <c r="AE3" s="15" t="n"/>
      <c r="AF3" s="15" t="n"/>
      <c r="AG3" s="19" t="n"/>
      <c r="AH3" s="19" t="n"/>
      <c r="AI3" s="19" t="n"/>
      <c r="AJ3" s="16" t="n"/>
      <c r="AK3" s="2" t="n"/>
      <c r="AL3" s="67" t="n"/>
      <c r="AM3" s="2" t="n"/>
      <c r="AN3" s="16" t="n"/>
      <c r="AO3" s="17" t="n"/>
      <c r="AP3" s="54" t="n"/>
    </row>
    <row r="4" ht="6" customHeight="1" thickBot="1">
      <c r="A4" s="73" t="n"/>
      <c r="B4" s="74" t="n"/>
      <c r="C4" s="74" t="n"/>
      <c r="D4" s="74" t="n"/>
      <c r="E4" s="93" t="n"/>
      <c r="F4" s="155" t="n"/>
      <c r="G4" s="156" t="n"/>
      <c r="H4" s="156" t="n"/>
      <c r="I4" s="156" t="n"/>
      <c r="J4" s="156" t="n"/>
      <c r="K4" s="86" t="n"/>
      <c r="L4" s="115" t="n"/>
      <c r="M4" s="110" t="n"/>
      <c r="N4" s="110" t="n"/>
      <c r="O4" s="110" t="n"/>
      <c r="P4" s="110" t="n"/>
      <c r="Q4" s="110" t="n"/>
      <c r="R4" s="116" t="n"/>
      <c r="S4" s="13" t="n"/>
      <c r="T4" s="13" t="n"/>
      <c r="U4" s="13" t="n"/>
      <c r="V4" s="13" t="n"/>
      <c r="W4" s="13" t="n"/>
      <c r="X4" s="13" t="n"/>
      <c r="Y4" s="13" t="n"/>
      <c r="Z4" s="14" t="n"/>
      <c r="AA4" s="14" t="n"/>
      <c r="AB4" s="14" t="n"/>
      <c r="AC4" s="14" t="n"/>
      <c r="AD4" s="15" t="n"/>
      <c r="AE4" s="15" t="n"/>
      <c r="AF4" s="15" t="n"/>
      <c r="AG4" s="19" t="n"/>
      <c r="AH4" s="19" t="n"/>
      <c r="AI4" s="19" t="n"/>
      <c r="AJ4" s="16" t="n"/>
      <c r="AK4" s="2" t="n"/>
      <c r="AL4" s="67" t="n"/>
      <c r="AM4" s="2" t="n"/>
      <c r="AN4" s="16" t="n"/>
      <c r="AO4" s="17" t="n"/>
      <c r="AP4" s="54" t="n"/>
    </row>
    <row r="5" ht="6" customHeight="1" thickBot="1">
      <c r="A5" s="73" t="n"/>
      <c r="B5" s="74" t="n"/>
      <c r="C5" s="74" t="n"/>
      <c r="D5" s="74" t="n"/>
      <c r="E5" s="93" t="n"/>
      <c r="F5" s="155" t="n"/>
      <c r="G5" s="167" t="n"/>
      <c r="H5" s="167" t="n"/>
      <c r="I5" s="167" t="n"/>
      <c r="J5" s="167" t="n"/>
      <c r="K5" s="167" t="n"/>
      <c r="L5" s="117" t="n"/>
      <c r="M5" s="112" t="n"/>
      <c r="N5" s="112" t="n"/>
      <c r="O5" s="112" t="n"/>
      <c r="P5" s="112" t="n"/>
      <c r="Q5" s="112" t="n"/>
      <c r="R5" s="118" t="n"/>
      <c r="S5" s="24" t="n"/>
      <c r="T5" s="24" t="n"/>
      <c r="U5" s="24" t="n"/>
      <c r="V5" s="24" t="n"/>
      <c r="W5" s="24" t="n"/>
      <c r="X5" s="24" t="n"/>
      <c r="Y5" s="24" t="n"/>
      <c r="Z5" s="25" t="n"/>
      <c r="AA5" s="25" t="n"/>
      <c r="AB5" s="25" t="n"/>
      <c r="AC5" s="25" t="n"/>
      <c r="AD5" s="26" t="n"/>
      <c r="AE5" s="26" t="n"/>
      <c r="AF5" s="26" t="n"/>
      <c r="AG5" s="19" t="n"/>
      <c r="AH5" s="19" t="n"/>
      <c r="AI5" s="19" t="n"/>
      <c r="AJ5" s="16" t="n"/>
      <c r="AK5" s="2" t="n"/>
      <c r="AL5" s="67" t="n"/>
      <c r="AM5" s="2" t="n"/>
      <c r="AN5" s="16" t="n"/>
      <c r="AO5" s="17" t="n"/>
      <c r="AP5" s="54" t="n"/>
    </row>
    <row r="6" ht="52.5" customFormat="1" customHeight="1" s="18" thickBot="1">
      <c r="A6" s="32" t="inlineStr">
        <is>
          <t>complexo</t>
        </is>
      </c>
      <c r="B6" s="75" t="inlineStr">
        <is>
          <t>Local</t>
        </is>
      </c>
      <c r="C6" s="76" t="inlineStr">
        <is>
          <t>TAG</t>
        </is>
      </c>
      <c r="D6" s="76" t="inlineStr">
        <is>
          <t>Sistema</t>
        </is>
      </c>
      <c r="E6" s="76" t="inlineStr">
        <is>
          <t>Fabricante</t>
        </is>
      </c>
      <c r="F6" s="76" t="inlineStr">
        <is>
          <t>Modelo</t>
        </is>
      </c>
      <c r="G6" s="120" t="inlineStr">
        <is>
          <t>Recomendado
Qtd. PQS</t>
        </is>
      </c>
      <c r="H6" s="121" t="inlineStr">
        <is>
          <t>Instalado
Qtd. PQS</t>
        </is>
      </c>
      <c r="I6" s="33" t="inlineStr">
        <is>
          <t>NFPA EXIGE SISTEMA DUAL? (Acima de 150gal)</t>
        </is>
      </c>
      <c r="J6" s="122" t="inlineStr">
        <is>
          <t>Recomendado
QTD. Ag Líquido</t>
        </is>
      </c>
      <c r="K6" s="123" t="inlineStr">
        <is>
          <t>Instalado
QTD. Ag Líquido</t>
        </is>
      </c>
      <c r="L6" s="94" t="inlineStr">
        <is>
          <t>1.) STATUS CARGA EXTINTORA</t>
        </is>
      </c>
      <c r="M6" s="96" t="inlineStr">
        <is>
          <t>R. sensor motor</t>
        </is>
      </c>
      <c r="N6" s="96" t="inlineStr">
        <is>
          <t>Instalado Sensor Motor</t>
        </is>
      </c>
      <c r="O6" s="96" t="inlineStr">
        <is>
          <t>R. sensor transmissao</t>
        </is>
      </c>
      <c r="P6" s="96" t="inlineStr">
        <is>
          <t>Instalado Sensor Transmissão</t>
        </is>
      </c>
      <c r="Q6" s="96" t="inlineStr">
        <is>
          <t>R. sensor bombas</t>
        </is>
      </c>
      <c r="R6" s="96" t="inlineStr">
        <is>
          <t>Instaço sensor Bombas</t>
        </is>
      </c>
      <c r="S6" s="96" t="inlineStr">
        <is>
          <t>2.) Status Sensores Quantidade</t>
        </is>
      </c>
      <c r="T6" s="31" t="inlineStr">
        <is>
          <t>R. bicos motor</t>
        </is>
      </c>
      <c r="U6" s="32" t="inlineStr">
        <is>
          <t>Instalado4</t>
        </is>
      </c>
      <c r="V6" s="32" t="inlineStr">
        <is>
          <t>R. bicos transmissao</t>
        </is>
      </c>
      <c r="W6" s="32" t="inlineStr">
        <is>
          <t>Instalado5</t>
        </is>
      </c>
      <c r="X6" s="32" t="inlineStr">
        <is>
          <t>R. bicos bombas</t>
        </is>
      </c>
      <c r="Y6" s="32" t="inlineStr">
        <is>
          <t>Instalado6</t>
        </is>
      </c>
      <c r="Z6" s="32" t="inlineStr">
        <is>
          <t>3.) status Bicos PQS Quantidade</t>
        </is>
      </c>
      <c r="AA6" s="32" t="inlineStr">
        <is>
          <t>R. bicos liquido motor</t>
        </is>
      </c>
      <c r="AB6" s="32" t="inlineStr">
        <is>
          <t>Instalado7</t>
        </is>
      </c>
      <c r="AC6" s="32" t="inlineStr">
        <is>
          <t>R. bicos liquido transmissao</t>
        </is>
      </c>
      <c r="AD6" s="32" t="inlineStr">
        <is>
          <t>Instalado8</t>
        </is>
      </c>
      <c r="AE6" s="32" t="inlineStr">
        <is>
          <t>R. bicos liquido bombas/hridráulico</t>
        </is>
      </c>
      <c r="AF6" s="32" t="inlineStr">
        <is>
          <t>Instalado9</t>
        </is>
      </c>
      <c r="AG6" s="32" t="inlineStr">
        <is>
          <t>4.) Status Bicos Liquido Quantidade</t>
        </is>
      </c>
      <c r="AH6" s="32" t="inlineStr">
        <is>
          <t>5.)Layout Monitoramento Sensores/Cabo Linear</t>
        </is>
      </c>
      <c r="AI6" s="32" t="inlineStr">
        <is>
          <t>6.) Layout Bicos e Mangueiras</t>
        </is>
      </c>
      <c r="AJ6" s="32" t="inlineStr">
        <is>
          <t>7.)Layout Posicionamento Acionadores e Painel da Cabine</t>
        </is>
      </c>
      <c r="AK6" s="32" t="inlineStr">
        <is>
          <t xml:space="preserve">Observações </t>
        </is>
      </c>
      <c r="AL6" s="32" t="inlineStr">
        <is>
          <t>Nota de Prioridade Quantitativa(NOTAS: 1 PIOR NOTA; 5 MELHOR NOTA)</t>
        </is>
      </c>
      <c r="AM6" s="68" t="inlineStr">
        <is>
          <t>Nota de Prioridade Qualitativa(NOTAS: 1 PIOR NOTA;  5 MELHOR NOTA)</t>
        </is>
      </c>
      <c r="AN6" s="34" t="inlineStr">
        <is>
          <t>Status Final Qualitativo e Quantitativo</t>
        </is>
      </c>
      <c r="AO6" s="34" t="inlineStr">
        <is>
          <t>Relatório</t>
        </is>
      </c>
      <c r="AP6" s="34" t="inlineStr">
        <is>
          <t>Coluna1</t>
        </is>
      </c>
      <c r="AQ6" s="32" t="inlineStr">
        <is>
          <t>Observação Interna (Franen)</t>
        </is>
      </c>
      <c r="AR6" s="32" t="inlineStr">
        <is>
          <t>calc</t>
        </is>
      </c>
      <c r="AS6" s="32" t="inlineStr">
        <is>
          <t>Coluna2</t>
        </is>
      </c>
      <c r="BB6" t="inlineStr">
        <is>
          <t>PQS_Rec_Total</t>
        </is>
      </c>
      <c r="BC6" t="inlineStr">
        <is>
          <t>PQS_Inst_Total</t>
        </is>
      </c>
      <c r="BD6" t="inlineStr">
        <is>
          <t>Liq_Rec_Total</t>
        </is>
      </c>
      <c r="BE6" t="inlineStr">
        <is>
          <t>Liq_Inst_Total</t>
        </is>
      </c>
      <c r="BF6" t="inlineStr">
        <is>
          <t>Computed_Status</t>
        </is>
      </c>
    </row>
    <row r="7" ht="21.75" customFormat="1" customHeight="1" s="20" thickBot="1">
      <c r="A7" s="151" t="inlineStr">
        <is>
          <t>itabira</t>
        </is>
      </c>
      <c r="B7" s="77" t="inlineStr">
        <is>
          <t>CONCEIÇÃO</t>
        </is>
      </c>
      <c r="C7" s="78" t="inlineStr">
        <is>
          <t>PF1142</t>
        </is>
      </c>
      <c r="D7" s="77" t="inlineStr">
        <is>
          <t>AFEX</t>
        </is>
      </c>
      <c r="E7" s="78" t="inlineStr">
        <is>
          <t>CATERPILLAR</t>
        </is>
      </c>
      <c r="F7" s="78" t="inlineStr">
        <is>
          <t>CAT MD6420</t>
        </is>
      </c>
      <c r="G7" s="81">
        <f>IFERROR(IF(F7=$AB$2,"",VLOOKUP(F7,'DATASHEET EQUIPAMENTOS'!D:N,2,FALSE)),"")</f>
        <v/>
      </c>
      <c r="H7" s="82" t="inlineStr">
        <is>
          <t>1x125lbs</t>
        </is>
      </c>
      <c r="I7" s="57">
        <f>_xlfn.XLOOKUP(Tabela2[[#This Row],[Modelo]],'DATASHEET EQUIPAMENTOS'!D:D,'DATASHEET EQUIPAMENTOS'!P:P,"",0,1)</f>
        <v/>
      </c>
      <c r="J7" s="81">
        <f>IF(F7=$Z$2,"",VLOOKUP(F7,'DATASHEET EQUIPAMENTOS'!D:N,3,FALSE))</f>
        <v/>
      </c>
      <c r="K7" s="84" t="inlineStr">
        <is>
          <t>1x15gal</t>
        </is>
      </c>
      <c r="L7" s="95">
        <f>IF(AZ7="CONFORME","CONFORME ✓","NÃO CONFORME ✗")</f>
        <v/>
      </c>
      <c r="M7" s="102">
        <f>IF(F7=$Z$2,"",VLOOKUP(F7,'DATASHEET EQUIPAMENTOS'!D:N,4,FALSE))</f>
        <v/>
      </c>
      <c r="N7" s="103" t="n">
        <v>6</v>
      </c>
      <c r="O7" s="102">
        <f>IF(F7=$Z$2,"",VLOOKUP(F7,'DATASHEET EQUIPAMENTOS'!D:N,5,FALSE))</f>
        <v/>
      </c>
      <c r="P7" s="103" t="n">
        <v>0</v>
      </c>
      <c r="Q7" s="102">
        <f>IF(F7=$Z$2,"",VLOOKUP(F7,'DATASHEET EQUIPAMENTOS'!D:N,6,FALSE))</f>
        <v/>
      </c>
      <c r="R7" s="104" t="n">
        <v>1</v>
      </c>
      <c r="S7" s="95">
        <f>IF(Tabela2[[#This Row],[Instalado Sensor Motor]]="Linear","CONFORME ✓",IF(SUM(M7,O7,Q7)&lt;SUM(N7,P7,R7),"CONFORME ✓",IF(SUM(M7,O7,Q7)=SUM(N7,P7,R7),"CONFORME ✓","NÃO CONFORME ✗")))</f>
        <v/>
      </c>
      <c r="T7" s="91">
        <f>IF(F7=$Z$2,"",VLOOKUP(F7,'DATASHEET EQUIPAMENTOS'!D:N,7,FALSE))</f>
        <v/>
      </c>
      <c r="U7" s="57" t="n">
        <v>12</v>
      </c>
      <c r="V7" s="56">
        <f>IF(F7=$Z$2,"",VLOOKUP(F7,'DATASHEET EQUIPAMENTOS'!D:N,8,FALSE))</f>
        <v/>
      </c>
      <c r="W7" s="57" t="n">
        <v>0</v>
      </c>
      <c r="X7" s="56">
        <f>IF(F7=$Z$2,"",VLOOKUP(F7,'DATASHEET EQUIPAMENTOS'!D:N,9,FALSE))</f>
        <v/>
      </c>
      <c r="Y7" s="57" t="n">
        <v>6</v>
      </c>
      <c r="Z7" s="57">
        <f>IF(SUM(T7,V7,X7)&lt;=SUM(U7,W7,Y7),"CONFORME ✓",IF(SUM(T7,V7,X7)&gt;SUM(U7,W7,Y7),"NÃO CONFORME ✗"))</f>
        <v/>
      </c>
      <c r="AA7" s="56">
        <f>IF(F7=$Z$2,"",VLOOKUP(F7,'DATASHEET EQUIPAMENTOS'!D:N,10,FALSE))</f>
        <v/>
      </c>
      <c r="AB7" s="57" t="n">
        <v>4</v>
      </c>
      <c r="AC7" s="56">
        <f>IF(F7=$Z$2,"",VLOOKUP(F7,'DATASHEET EQUIPAMENTOS'!D:N,11,FALSE))</f>
        <v/>
      </c>
      <c r="AD7" s="57" t="n">
        <v>0</v>
      </c>
      <c r="AE7" s="56">
        <f>IF(F7=$Z$2,"",VLOOKUP(F7,'DATASHEET EQUIPAMENTOS'!D:O,12,FALSE))</f>
        <v/>
      </c>
      <c r="AF7" s="57" t="n">
        <v>0</v>
      </c>
      <c r="AG7" s="57">
        <f>IF(SUM(AA7,AC7,AE7)&lt;=SUM(AB7,AD7,AF7),"CONFORME ✓",IF(SUM(AA7,AC7,AE7)&gt;SUM(AB7,AD7,AF7),"NÃO CONFORME ✗"))</f>
        <v/>
      </c>
      <c r="AH7" s="72" t="n">
        <v>4</v>
      </c>
      <c r="AI7" s="72" t="n">
        <v>4</v>
      </c>
      <c r="AJ7" s="72" t="n">
        <v>4</v>
      </c>
      <c r="AK7" s="7" t="inlineStr">
        <is>
          <t>Instalar 02 sensores na região das bombas; Realizar pequenas adequações de layout em mangueiras e cabos de sensores</t>
        </is>
      </c>
      <c r="AL7" s="58">
        <f>IFERROR(CALCULOS!H2,"NECESSÁRIO REVISAR DATASHEET")</f>
        <v/>
      </c>
      <c r="AM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" s="64">
        <f>SUM(Tabela2[[#This Row],[Nota de Prioridade Quantitativa(NOTAS: 1 PIOR NOTA; 5 MELHOR NOTA)]],Tabela2[[#This Row],[Nota de Prioridade Qualitativa(NOTAS: 1 PIOR NOTA;  5 MELHOR NOTA)]])</f>
        <v/>
      </c>
      <c r="AO7" s="7" t="n">
        <v>151519</v>
      </c>
      <c r="AP7" s="64">
        <f>SUM(Tabela2[[#This Row],[Nota de Prioridade Quantitativa(NOTAS: 1 PIOR NOTA; 5 MELHOR NOTA)]],Tabela2[[#This Row],[Nota de Prioridade Qualitativa(NOTAS: 1 PIOR NOTA;  5 MELHOR NOTA)]])</f>
        <v/>
      </c>
      <c r="AQ7" s="7" t="inlineStr">
        <is>
          <t>verificar projeto e especificação kit fz</t>
        </is>
      </c>
      <c r="AR7" s="64">
        <f>SUM(Tabela2[[#This Row],[Nota de Prioridade Quantitativa(NOTAS: 1 PIOR NOTA; 5 MELHOR NOTA)]],Tabela2[[#This Row],[Nota de Prioridade Qualitativa(NOTAS: 1 PIOR NOTA;  5 MELHOR NOTA)]])</f>
        <v/>
      </c>
      <c r="AS7" s="7" t="n"/>
      <c r="AZ7" s="20">
        <f t="array" ref="AZ7">StatusCarga(G7,H7,J7,K7)</f>
        <v/>
      </c>
      <c r="BA7" s="20">
        <f>IF(AZ7="CONFORME","CONFORME ✓","NÃO CONFORME ✗")</f>
        <v/>
      </c>
      <c r="BB7" t="n">
        <v>0</v>
      </c>
      <c r="BC7" t="n">
        <v>125</v>
      </c>
      <c r="BD7" t="n">
        <v>0</v>
      </c>
      <c r="BE7" t="n">
        <v>15</v>
      </c>
      <c r="BF7" t="inlineStr">
        <is>
          <t>CONFORME</t>
        </is>
      </c>
    </row>
    <row r="8" ht="21.75" customFormat="1" customHeight="1" s="20" thickBot="1">
      <c r="A8" s="151" t="inlineStr">
        <is>
          <t>itabira</t>
        </is>
      </c>
      <c r="B8" s="77" t="inlineStr">
        <is>
          <t>CAUÊ</t>
        </is>
      </c>
      <c r="C8" s="79" t="inlineStr">
        <is>
          <t>CA65931</t>
        </is>
      </c>
      <c r="D8" s="77" t="inlineStr">
        <is>
          <t>AFEX</t>
        </is>
      </c>
      <c r="E8" s="78" t="inlineStr">
        <is>
          <t>CATERPILLAR</t>
        </is>
      </c>
      <c r="F8" s="78" t="inlineStr">
        <is>
          <t>CAT 793D</t>
        </is>
      </c>
      <c r="G8" s="81">
        <f>IFERROR(IF(F8=$AB$2,"",VLOOKUP(F8,'DATASHEET EQUIPAMENTOS'!D:N,2,FALSE)),"")</f>
        <v/>
      </c>
      <c r="H8" s="82" t="inlineStr">
        <is>
          <t>4x30lbs</t>
        </is>
      </c>
      <c r="I8" s="57">
        <f>_xlfn.XLOOKUP(Tabela2[[#This Row],[Modelo]],'DATASHEET EQUIPAMENTOS'!D:D,'DATASHEET EQUIPAMENTOS'!P:P,"",0,1)</f>
        <v/>
      </c>
      <c r="J8" s="81">
        <f>IF(F8=$Z$2,"",VLOOKUP(F8,'DATASHEET EQUIPAMENTOS'!D:N,3,FALSE))</f>
        <v/>
      </c>
      <c r="K8" s="84" t="n">
        <v>0</v>
      </c>
      <c r="L8" s="95">
        <f>IF(AZ8="CONFORME","CONFORME ✓","NÃO CONFORME ✗")</f>
        <v/>
      </c>
      <c r="M8" s="102">
        <f>IF(F8=$Z$2,"",VLOOKUP(F8,'DATASHEET EQUIPAMENTOS'!D:N,4,FALSE))</f>
        <v/>
      </c>
      <c r="N8" s="103" t="n">
        <v>5</v>
      </c>
      <c r="O8" s="102">
        <f>IF(F8=$Z$2,"",VLOOKUP(F8,'DATASHEET EQUIPAMENTOS'!D:N,5,FALSE))</f>
        <v/>
      </c>
      <c r="P8" s="103" t="n">
        <v>2</v>
      </c>
      <c r="Q8" s="102">
        <f>IF(F8=$Z$2,"",VLOOKUP(F8,'DATASHEET EQUIPAMENTOS'!D:N,6,FALSE))</f>
        <v/>
      </c>
      <c r="R8" s="104" t="n">
        <v>0</v>
      </c>
      <c r="S8" s="95">
        <f>IF(Tabela2[[#This Row],[Instalado Sensor Motor]]="Linear","CONFORME ✓",IF(SUM(M8,O8,Q8)&lt;SUM(N8,P8,R8),"CONFORME ✓",IF(SUM(M8,O8,Q8)=SUM(N8,P8,R8),"CONFORME ✓","NÃO CONFORME ✗")))</f>
        <v/>
      </c>
      <c r="T8" s="91">
        <f>IF(F8=$Z$2,"",VLOOKUP(F8,'DATASHEET EQUIPAMENTOS'!D:N,7,FALSE))</f>
        <v/>
      </c>
      <c r="U8" s="57" t="n">
        <v>18</v>
      </c>
      <c r="V8" s="56">
        <f>IF(F8=$Z$2,"",VLOOKUP(F8,'DATASHEET EQUIPAMENTOS'!D:N,8,FALSE))</f>
        <v/>
      </c>
      <c r="W8" s="57" t="n">
        <v>3</v>
      </c>
      <c r="X8" s="56">
        <f>IF(F8=$Z$2,"",VLOOKUP(F8,'DATASHEET EQUIPAMENTOS'!D:N,9,FALSE))</f>
        <v/>
      </c>
      <c r="Y8" s="57" t="n">
        <v>0</v>
      </c>
      <c r="Z8" s="57">
        <f>IF(SUM(T8,V8,X8)&lt;=SUM(U8,W8,Y8),"CONFORME ✓",IF(SUM(T8,V8,X8)&gt;SUM(U8,W8,Y8),"NÃO CONFORME ✗"))</f>
        <v/>
      </c>
      <c r="AA8" s="56">
        <f>IF(F8=$Z$2,"",VLOOKUP(F8,'DATASHEET EQUIPAMENTOS'!D:N,10,FALSE))</f>
        <v/>
      </c>
      <c r="AB8" s="57" t="n">
        <v>0</v>
      </c>
      <c r="AC8" s="56">
        <f>IF(F8=$Z$2,"",VLOOKUP(F8,'DATASHEET EQUIPAMENTOS'!D:N,11,FALSE))</f>
        <v/>
      </c>
      <c r="AD8" s="57" t="n">
        <v>0</v>
      </c>
      <c r="AE8" s="56">
        <f>IF(F8=$Z$2,"",VLOOKUP(F8,'DATASHEET EQUIPAMENTOS'!D:O,12,FALSE))</f>
        <v/>
      </c>
      <c r="AF8" s="57" t="n">
        <v>0</v>
      </c>
      <c r="AG8" s="57">
        <f>IF(SUM(AA8,AC8,AE8)&lt;=SUM(AB8,AD8,AF8),"CONFORME ✓",IF(SUM(AA8,AC8,AE8)&gt;SUM(AB8,AD8,AF8),"NÃO CONFORME ✗"))</f>
        <v/>
      </c>
      <c r="AH8" s="72" t="n">
        <v>2.5</v>
      </c>
      <c r="AI8" s="72" t="n">
        <v>4</v>
      </c>
      <c r="AJ8" s="72" t="n">
        <v>2.5</v>
      </c>
      <c r="AK8" s="59" t="inlineStr">
        <is>
          <t>Sistema sem agente líquido; Recomenda-se padronizar as rotas de cabos dos sensores; Substituir alguns sensores; Reposicionar painel de monitoramento.</t>
        </is>
      </c>
      <c r="AL8" s="58">
        <f>IFERROR(CALCULOS!H3,"NECESSÁRIO REVISAR DATASHEET")</f>
        <v/>
      </c>
      <c r="AM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" s="64">
        <f>SUM(Tabela2[[#This Row],[Nota de Prioridade Quantitativa(NOTAS: 1 PIOR NOTA; 5 MELHOR NOTA)]],Tabela2[[#This Row],[Nota de Prioridade Qualitativa(NOTAS: 1 PIOR NOTA;  5 MELHOR NOTA)]])</f>
        <v/>
      </c>
      <c r="AO8" s="57" t="n">
        <v>149114</v>
      </c>
      <c r="AP8" s="64">
        <f>SUM(Tabela2[[#This Row],[Nota de Prioridade Quantitativa(NOTAS: 1 PIOR NOTA; 5 MELHOR NOTA)]],Tabela2[[#This Row],[Nota de Prioridade Qualitativa(NOTAS: 1 PIOR NOTA;  5 MELHOR NOTA)]])</f>
        <v/>
      </c>
      <c r="AQ8" s="7" t="n"/>
      <c r="AR8" s="64">
        <f>SUM(Tabela2[[#This Row],[Nota de Prioridade Quantitativa(NOTAS: 1 PIOR NOTA; 5 MELHOR NOTA)]],Tabela2[[#This Row],[Nota de Prioridade Qualitativa(NOTAS: 1 PIOR NOTA;  5 MELHOR NOTA)]])</f>
        <v/>
      </c>
      <c r="AS8" s="7" t="n"/>
      <c r="AZ8" s="20">
        <f t="array" ref="AZ8">StatusCarga(G8,H8,J8,K8)</f>
        <v/>
      </c>
      <c r="BA8" s="20">
        <f>IF(AZ8="CONFORME","CONFORME ✓","NÃO CONFORME ✗")</f>
        <v/>
      </c>
      <c r="BB8" t="n">
        <v>0</v>
      </c>
      <c r="BC8" t="n">
        <v>120</v>
      </c>
      <c r="BD8" t="n">
        <v>0</v>
      </c>
      <c r="BE8" t="n">
        <v>0</v>
      </c>
      <c r="BF8" t="inlineStr">
        <is>
          <t>CONFORME</t>
        </is>
      </c>
    </row>
    <row r="9" hidden="1" ht="21.75" customFormat="1" customHeight="1" s="20" thickBot="1">
      <c r="A9" s="77" t="inlineStr">
        <is>
          <t>Paraoupeba</t>
        </is>
      </c>
      <c r="B9" s="77" t="inlineStr">
        <is>
          <t>Fábrica</t>
        </is>
      </c>
      <c r="C9" s="80" t="inlineStr">
        <is>
          <t>CA53119</t>
        </is>
      </c>
      <c r="D9" s="80" t="inlineStr">
        <is>
          <t>AFEX</t>
        </is>
      </c>
      <c r="E9" s="78" t="inlineStr">
        <is>
          <t>CATERPILLAR</t>
        </is>
      </c>
      <c r="F9" s="80" t="inlineStr">
        <is>
          <t>CAT 777G</t>
        </is>
      </c>
      <c r="G9" s="81">
        <f>IFERROR(IF(F9=$AB$2,"",VLOOKUP(F9,'DATASHEET EQUIPAMENTOS'!D:N,2,FALSE)),"")</f>
        <v/>
      </c>
      <c r="H9" s="82" t="inlineStr">
        <is>
          <t>1x30lbs + 1x60lbs</t>
        </is>
      </c>
      <c r="I9" s="57">
        <f>_xlfn.XLOOKUP(Tabela2[[#This Row],[Modelo]],'DATASHEET EQUIPAMENTOS'!D:D,'DATASHEET EQUIPAMENTOS'!P:P,"",0,1)</f>
        <v/>
      </c>
      <c r="J9" s="81">
        <f>IF(F9=$Z$2,"",VLOOKUP(F9,'DATASHEET EQUIPAMENTOS'!D:N,3,FALSE))</f>
        <v/>
      </c>
      <c r="K9" s="85" t="n">
        <v>0</v>
      </c>
      <c r="L9" s="95">
        <f>IF(AZ9="CONFORME","CONFORME ✓","NÃO CONFORME ✗")</f>
        <v/>
      </c>
      <c r="M9" s="102">
        <f>IF(F9=$Z$2,"",VLOOKUP(F9,'DATASHEET EQUIPAMENTOS'!D:N,4,FALSE))</f>
        <v/>
      </c>
      <c r="N9" s="103" t="n">
        <v>5</v>
      </c>
      <c r="O9" s="102">
        <f>IF(F9=$Z$2,"",VLOOKUP(F9,'DATASHEET EQUIPAMENTOS'!D:N,5,FALSE))</f>
        <v/>
      </c>
      <c r="P9" s="103" t="n">
        <v>2</v>
      </c>
      <c r="Q9" s="102">
        <f>IF(F9=$Z$2,"",VLOOKUP(F9,'DATASHEET EQUIPAMENTOS'!D:N,6,FALSE))</f>
        <v/>
      </c>
      <c r="R9" s="104" t="n">
        <v>1</v>
      </c>
      <c r="S9" s="95">
        <f>IF(Tabela2[[#This Row],[Instalado Sensor Motor]]="Linear","CONFORME ✓",IF(SUM(M9,O9,Q9)&lt;SUM(N9,P9,R9),"CONFORME ✓",IF(SUM(M9,O9,Q9)=SUM(N9,P9,R9),"CONFORME ✓","NÃO CONFORME ✗")))</f>
        <v/>
      </c>
      <c r="T9" s="91">
        <f>IF(F9=$Z$2,"",VLOOKUP(F9,'DATASHEET EQUIPAMENTOS'!D:N,7,FALSE))</f>
        <v/>
      </c>
      <c r="U9" s="57" t="n">
        <v>12</v>
      </c>
      <c r="V9" s="56">
        <f>IF(F9=$Z$2,"",VLOOKUP(F9,'DATASHEET EQUIPAMENTOS'!D:N,8,FALSE))</f>
        <v/>
      </c>
      <c r="W9" s="57" t="n">
        <v>3</v>
      </c>
      <c r="X9" s="56">
        <f>IF(F9=$Z$2,"",VLOOKUP(F9,'DATASHEET EQUIPAMENTOS'!D:N,9,FALSE))</f>
        <v/>
      </c>
      <c r="Y9" s="57" t="n">
        <v>2</v>
      </c>
      <c r="Z9" s="57">
        <f>IF(SUM(T9,V9,X9)&lt;=SUM(U9,W9,Y9),"CONFORME ✓",IF(SUM(T9,V9,X9)&gt;SUM(U9,W9,Y9),"NÃO CONFORME ✗"))</f>
        <v/>
      </c>
      <c r="AA9" s="56">
        <f>IF(F9=$Z$2,"",VLOOKUP(F9,'DATASHEET EQUIPAMENTOS'!D:N,10,FALSE))</f>
        <v/>
      </c>
      <c r="AB9" s="57" t="n"/>
      <c r="AC9" s="56">
        <f>IF(F9=$Z$2,"",VLOOKUP(F9,'DATASHEET EQUIPAMENTOS'!D:N,11,FALSE))</f>
        <v/>
      </c>
      <c r="AD9" s="57" t="n"/>
      <c r="AE9" s="56">
        <f>IF(F9=$Z$2,"",VLOOKUP(F9,'DATASHEET EQUIPAMENTOS'!D:O,12,FALSE))</f>
        <v/>
      </c>
      <c r="AF9" s="57" t="n"/>
      <c r="AG9" s="57">
        <f>IF(SUM(AA9,AC9,AE9)&lt;=SUM(AB9,AD9,AF9),"CONFORME ✓",IF(SUM(AA9,AC9,AE9)&gt;SUM(AB9,AD9,AF9),"NÃO CONFORME ✗"))</f>
        <v/>
      </c>
      <c r="AH9" s="72" t="n">
        <v>4</v>
      </c>
      <c r="AI9" s="72" t="n">
        <v>4</v>
      </c>
      <c r="AJ9" s="72" t="n">
        <v>5</v>
      </c>
      <c r="AK9" s="7" t="inlineStr">
        <is>
          <t>ADEQUAR FIXAÇÃO DOS CABOS E SENSORES; ADEQUAR BICOS PQS NAS BOMBAS</t>
        </is>
      </c>
      <c r="AL9" s="58">
        <f>IFERROR(CALCULOS!H4,"NECESSÁRIO REVISAR DATASHEET")</f>
        <v/>
      </c>
      <c r="AM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" s="64">
        <f>SUM(Tabela2[[#This Row],[Nota de Prioridade Quantitativa(NOTAS: 1 PIOR NOTA; 5 MELHOR NOTA)]],Tabela2[[#This Row],[Nota de Prioridade Qualitativa(NOTAS: 1 PIOR NOTA;  5 MELHOR NOTA)]])</f>
        <v/>
      </c>
      <c r="AO9" s="7" t="n">
        <v>152083</v>
      </c>
      <c r="AP9" s="64">
        <f>SUM(Tabela2[[#This Row],[Nota de Prioridade Quantitativa(NOTAS: 1 PIOR NOTA; 5 MELHOR NOTA)]],Tabela2[[#This Row],[Nota de Prioridade Qualitativa(NOTAS: 1 PIOR NOTA;  5 MELHOR NOTA)]])</f>
        <v/>
      </c>
      <c r="AQ9" s="7" t="n"/>
      <c r="AR9" s="64">
        <f>SUM(Tabela2[[#This Row],[Nota de Prioridade Quantitativa(NOTAS: 1 PIOR NOTA; 5 MELHOR NOTA)]],Tabela2[[#This Row],[Nota de Prioridade Qualitativa(NOTAS: 1 PIOR NOTA;  5 MELHOR NOTA)]])</f>
        <v/>
      </c>
      <c r="AS9" s="7" t="n"/>
      <c r="AZ9" s="20">
        <f t="array" ref="AZ9">StatusCarga(G9,H9,J9,K9)</f>
        <v/>
      </c>
      <c r="BA9" s="20">
        <f>IF(AZ9="CONFORME","CONFORME ✓","NÃO CONFORME ✗")</f>
        <v/>
      </c>
      <c r="BB9" t="n">
        <v>0</v>
      </c>
      <c r="BC9" t="n">
        <v>90</v>
      </c>
      <c r="BD9" t="n">
        <v>0</v>
      </c>
      <c r="BE9" t="n">
        <v>0</v>
      </c>
      <c r="BF9" t="inlineStr">
        <is>
          <t>CONFORME</t>
        </is>
      </c>
    </row>
    <row r="10" ht="21.75" customFormat="1" customHeight="1" s="23" thickBot="1">
      <c r="A10" s="151" t="inlineStr">
        <is>
          <t>itabira</t>
        </is>
      </c>
      <c r="B10" s="77" t="inlineStr">
        <is>
          <t>CONCEIÇÃO</t>
        </is>
      </c>
      <c r="C10" s="79" t="inlineStr">
        <is>
          <t>PF1145</t>
        </is>
      </c>
      <c r="D10" s="77" t="inlineStr">
        <is>
          <t>AFEX</t>
        </is>
      </c>
      <c r="E10" s="78" t="inlineStr">
        <is>
          <t>CATERPILLAR</t>
        </is>
      </c>
      <c r="F10" s="78" t="inlineStr">
        <is>
          <t>CAT MD6310</t>
        </is>
      </c>
      <c r="G10" s="81">
        <f>IFERROR(IF(F10=$AB$2,"",VLOOKUP(F10,'DATASHEET EQUIPAMENTOS'!D:N,2,FALSE)),"")</f>
        <v/>
      </c>
      <c r="H10" s="82" t="inlineStr">
        <is>
          <t>1x125lbs</t>
        </is>
      </c>
      <c r="I10" s="60">
        <f>_xlfn.XLOOKUP(Tabela2[[#This Row],[Modelo]],'DATASHEET EQUIPAMENTOS'!D:D,'DATASHEET EQUIPAMENTOS'!P:P,"",0,1)</f>
        <v/>
      </c>
      <c r="J10" s="81">
        <f>IF(F10=$Z$2,"",VLOOKUP(F10,'DATASHEET EQUIPAMENTOS'!D:N,3,FALSE))</f>
        <v/>
      </c>
      <c r="K10" s="84" t="inlineStr">
        <is>
          <t>1x15gal</t>
        </is>
      </c>
      <c r="L10" s="95">
        <f>IF(AZ10="CONFORME","CONFORME ✓","NÃO CONFORME ✗")</f>
        <v/>
      </c>
      <c r="M10" s="102">
        <f>IF(F10=$Z$2,"",VLOOKUP(F10,'DATASHEET EQUIPAMENTOS'!D:N,4,FALSE))</f>
        <v/>
      </c>
      <c r="N10" s="103" t="inlineStr">
        <is>
          <t>Linear</t>
        </is>
      </c>
      <c r="O10" s="102">
        <f>IF(F10=$Z$2,"",VLOOKUP(F10,'DATASHEET EQUIPAMENTOS'!D:N,5,FALSE))</f>
        <v/>
      </c>
      <c r="P10" s="103" t="inlineStr">
        <is>
          <t>Linear</t>
        </is>
      </c>
      <c r="Q10" s="102">
        <f>IF(F10=$Z$2,"",VLOOKUP(F10,'DATASHEET EQUIPAMENTOS'!D:N,6,FALSE))</f>
        <v/>
      </c>
      <c r="R10" s="104" t="inlineStr">
        <is>
          <t>Linear</t>
        </is>
      </c>
      <c r="S10" s="95">
        <f>IF(Tabela2[[#This Row],[Instalado Sensor Motor]]="Linear","CONFORME ✓",IF(SUM(M10,O10,Q10)&lt;SUM(N10,P10,R10),"CONFORME ✓",IF(SUM(M10,O10,Q10)=SUM(N10,P10,R10),"CONFORME ✓","NÃO CONFORME ✗")))</f>
        <v/>
      </c>
      <c r="T10" s="91">
        <f>IF(F10=$Z$2,"",VLOOKUP(F10,'DATASHEET EQUIPAMENTOS'!D:N,7,FALSE))</f>
        <v/>
      </c>
      <c r="U10" s="60" t="n">
        <v>12</v>
      </c>
      <c r="V10" s="56">
        <f>IF(F10=$Z$2,"",VLOOKUP(F10,'DATASHEET EQUIPAMENTOS'!D:N,8,FALSE))</f>
        <v/>
      </c>
      <c r="W10" s="60" t="n">
        <v>0</v>
      </c>
      <c r="X10" s="56">
        <f>IF(F10=$Z$2,"",VLOOKUP(F10,'DATASHEET EQUIPAMENTOS'!D:N,9,FALSE))</f>
        <v/>
      </c>
      <c r="Y10" s="60" t="n">
        <v>6</v>
      </c>
      <c r="Z10" s="57">
        <f>IF(SUM(T10,V10,X10)&lt;=SUM(U10,W10,Y10),"CONFORME ✓",IF(SUM(T10,V10,X10)&gt;SUM(U10,W10,Y10),"NÃO CONFORME ✗"))</f>
        <v/>
      </c>
      <c r="AA10" s="56">
        <f>IF(F10=$Z$2,"",VLOOKUP(F10,'DATASHEET EQUIPAMENTOS'!D:N,10,FALSE))</f>
        <v/>
      </c>
      <c r="AB10" s="60" t="n">
        <v>6</v>
      </c>
      <c r="AC10" s="56">
        <f>IF(F10=$Z$2,"",VLOOKUP(F10,'DATASHEET EQUIPAMENTOS'!D:N,11,FALSE))</f>
        <v/>
      </c>
      <c r="AD10" s="60" t="n">
        <v>0</v>
      </c>
      <c r="AE10" s="56">
        <f>IF(F10=$Z$2,"",VLOOKUP(F10,'DATASHEET EQUIPAMENTOS'!D:O,12,FALSE))</f>
        <v/>
      </c>
      <c r="AF10" s="60" t="n">
        <v>0</v>
      </c>
      <c r="AG10" s="57">
        <f>IF(SUM(AA10,AC10,AE10)&lt;=SUM(AB10,AD10,AF10),"CONFORME ✓",IF(SUM(AA10,AC10,AE10)&gt;SUM(AB10,AD10,AF10),"NÃO CONFORME ✗"))</f>
        <v/>
      </c>
      <c r="AH10" s="72" t="n">
        <v>4</v>
      </c>
      <c r="AI10" s="72" t="n">
        <v>4</v>
      </c>
      <c r="AJ10" s="72" t="n">
        <v>4</v>
      </c>
      <c r="AK10" s="61" t="inlineStr">
        <is>
          <t>Máquina nova, instalação nova.</t>
        </is>
      </c>
      <c r="AL10" s="58">
        <f>IFERROR(CALCULOS!H5,"NECESSÁRIO REVISAR DATASHEET")</f>
        <v/>
      </c>
      <c r="AM1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" s="64">
        <f>SUM(Tabela2[[#This Row],[Nota de Prioridade Quantitativa(NOTAS: 1 PIOR NOTA; 5 MELHOR NOTA)]],Tabela2[[#This Row],[Nota de Prioridade Qualitativa(NOTAS: 1 PIOR NOTA;  5 MELHOR NOTA)]])</f>
        <v/>
      </c>
      <c r="AO10" s="60" t="n">
        <v>149230</v>
      </c>
      <c r="AP10" s="64">
        <f>SUM(Tabela2[[#This Row],[Nota de Prioridade Quantitativa(NOTAS: 1 PIOR NOTA; 5 MELHOR NOTA)]],Tabela2[[#This Row],[Nota de Prioridade Qualitativa(NOTAS: 1 PIOR NOTA;  5 MELHOR NOTA)]])</f>
        <v/>
      </c>
      <c r="AQ10" s="61" t="n"/>
      <c r="AR10" s="65">
        <f>SUM(Tabela2[[#This Row],[Nota de Prioridade Quantitativa(NOTAS: 1 PIOR NOTA; 5 MELHOR NOTA)]],Tabela2[[#This Row],[Nota de Prioridade Qualitativa(NOTAS: 1 PIOR NOTA;  5 MELHOR NOTA)]])</f>
        <v/>
      </c>
      <c r="AS10" s="61" t="n"/>
      <c r="AZ10" s="20">
        <f t="array" ref="AZ10">StatusCarga(G10,H10,J10,K10)</f>
        <v/>
      </c>
      <c r="BA10" s="23">
        <f>IF(AZ10="CONFORME","CONFORME ✓","NÃO CONFORME ✗")</f>
        <v/>
      </c>
      <c r="BB10" t="n">
        <v>0</v>
      </c>
      <c r="BC10" t="n">
        <v>125</v>
      </c>
      <c r="BD10" t="n">
        <v>0</v>
      </c>
      <c r="BE10" t="n">
        <v>15</v>
      </c>
      <c r="BF10" t="inlineStr">
        <is>
          <t>CONFORME</t>
        </is>
      </c>
    </row>
    <row r="11" ht="21.75" customFormat="1" customHeight="1" s="20" thickBot="1">
      <c r="A11" s="151" t="inlineStr">
        <is>
          <t>itabira</t>
        </is>
      </c>
      <c r="B11" s="77" t="inlineStr">
        <is>
          <t>CONCEIÇÃO</t>
        </is>
      </c>
      <c r="C11" s="78" t="inlineStr">
        <is>
          <t>MA0105</t>
        </is>
      </c>
      <c r="D11" s="77" t="inlineStr">
        <is>
          <t>AFEX</t>
        </is>
      </c>
      <c r="E11" s="78" t="inlineStr">
        <is>
          <t>CATERPILLAR</t>
        </is>
      </c>
      <c r="F11" s="78" t="inlineStr">
        <is>
          <t>CAT 988H</t>
        </is>
      </c>
      <c r="G11" s="81">
        <f>IFERROR(IF(F11=$AB$2,"",VLOOKUP(F11,'DATASHEET EQUIPAMENTOS'!D:N,2,FALSE)),"")</f>
        <v/>
      </c>
      <c r="H11" s="82" t="inlineStr">
        <is>
          <t>2x30lbs</t>
        </is>
      </c>
      <c r="I11" s="57">
        <f>_xlfn.XLOOKUP(Tabela2[[#This Row],[Modelo]],'DATASHEET EQUIPAMENTOS'!D:D,'DATASHEET EQUIPAMENTOS'!P:P,"",0,1)</f>
        <v/>
      </c>
      <c r="J11" s="81">
        <f>IF(F11=$Z$2,"",VLOOKUP(F11,'DATASHEET EQUIPAMENTOS'!D:N,3,FALSE))</f>
        <v/>
      </c>
      <c r="K11" s="84" t="n">
        <v>0</v>
      </c>
      <c r="L11" s="95">
        <f>IF(AZ11="CONFORME","CONFORME ✓","NÃO CONFORME ✗")</f>
        <v/>
      </c>
      <c r="M11" s="102">
        <f>IF(F11=$Z$2,"",VLOOKUP(F11,'DATASHEET EQUIPAMENTOS'!D:N,4,FALSE))</f>
        <v/>
      </c>
      <c r="N11" s="103" t="n">
        <v>4</v>
      </c>
      <c r="O11" s="102">
        <f>IF(F11=$Z$2,"",VLOOKUP(F11,'DATASHEET EQUIPAMENTOS'!D:N,5,FALSE))</f>
        <v/>
      </c>
      <c r="P11" s="103" t="n">
        <v>2</v>
      </c>
      <c r="Q11" s="102">
        <f>IF(F11=$Z$2,"",VLOOKUP(F11,'DATASHEET EQUIPAMENTOS'!D:N,6,FALSE))</f>
        <v/>
      </c>
      <c r="R11" s="104" t="n">
        <v>0</v>
      </c>
      <c r="S11" s="95">
        <f>IF(Tabela2[[#This Row],[Instalado Sensor Motor]]="Linear","CONFORME ✓",IF(SUM(M11,O11,Q11)&lt;SUM(N11,P11,R11),"CONFORME ✓",IF(SUM(M11,O11,Q11)=SUM(N11,P11,R11),"CONFORME ✓","NÃO CONFORME ✗")))</f>
        <v/>
      </c>
      <c r="T11" s="91">
        <f>IF(F11=$Z$2,"",VLOOKUP(F11,'DATASHEET EQUIPAMENTOS'!D:N,7,FALSE))</f>
        <v/>
      </c>
      <c r="U11" s="57" t="n">
        <v>6</v>
      </c>
      <c r="V11" s="56">
        <f>IF(F11=$Z$2,"",VLOOKUP(F11,'DATASHEET EQUIPAMENTOS'!D:N,8,FALSE))</f>
        <v/>
      </c>
      <c r="W11" s="57" t="n">
        <v>6</v>
      </c>
      <c r="X11" s="56">
        <f>IF(F11=$Z$2,"",VLOOKUP(F11,'DATASHEET EQUIPAMENTOS'!D:N,9,FALSE))</f>
        <v/>
      </c>
      <c r="Y11" s="57" t="n">
        <v>0</v>
      </c>
      <c r="Z11" s="57">
        <f>IF(SUM(T11,V11,X11)&lt;=SUM(U11,W11,Y11),"CONFORME ✓",IF(SUM(T11,V11,X11)&gt;SUM(U11,W11,Y11),"NÃO CONFORME ✗"))</f>
        <v/>
      </c>
      <c r="AA11" s="56">
        <f>IF(F11=$Z$2,"",VLOOKUP(F11,'DATASHEET EQUIPAMENTOS'!D:N,10,FALSE))</f>
        <v/>
      </c>
      <c r="AB11" s="57" t="n">
        <v>0</v>
      </c>
      <c r="AC11" s="56">
        <f>IF(F11=$Z$2,"",VLOOKUP(F11,'DATASHEET EQUIPAMENTOS'!D:N,11,FALSE))</f>
        <v/>
      </c>
      <c r="AD11" s="57" t="n">
        <v>0</v>
      </c>
      <c r="AE11" s="56">
        <f>IF(F11=$Z$2,"",VLOOKUP(F11,'DATASHEET EQUIPAMENTOS'!D:O,12,FALSE))</f>
        <v/>
      </c>
      <c r="AF11" s="57" t="n">
        <v>0</v>
      </c>
      <c r="AG11" s="57">
        <f>IF(SUM(AA11,AC11,AE11)&lt;=SUM(AB11,AD11,AF11),"CONFORME ✓",IF(SUM(AA11,AC11,AE11)&gt;SUM(AB11,AD11,AF11),"NÃO CONFORME ✗"))</f>
        <v/>
      </c>
      <c r="AH11" s="72" t="n">
        <v>2.5</v>
      </c>
      <c r="AI11" s="72" t="n">
        <v>2.5</v>
      </c>
      <c r="AJ11" s="72" t="n">
        <v>4</v>
      </c>
      <c r="AK11" s="7" t="inlineStr">
        <is>
          <t>NECESSÁRIO COORGIR SISTEMA</t>
        </is>
      </c>
      <c r="AL11" s="58">
        <f>IFERROR(CALCULOS!H6,"NECESSÁRIO REVISAR DATASHEET")</f>
        <v/>
      </c>
      <c r="AM1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" s="64">
        <f>SUM(Tabela2[[#This Row],[Nota de Prioridade Quantitativa(NOTAS: 1 PIOR NOTA; 5 MELHOR NOTA)]],Tabela2[[#This Row],[Nota de Prioridade Qualitativa(NOTAS: 1 PIOR NOTA;  5 MELHOR NOTA)]])</f>
        <v/>
      </c>
      <c r="AO11" s="57" t="n">
        <v>149231</v>
      </c>
      <c r="AP11" s="64">
        <f>SUM(Tabela2[[#This Row],[Nota de Prioridade Quantitativa(NOTAS: 1 PIOR NOTA; 5 MELHOR NOTA)]],Tabela2[[#This Row],[Nota de Prioridade Qualitativa(NOTAS: 1 PIOR NOTA;  5 MELHOR NOTA)]])</f>
        <v/>
      </c>
      <c r="AQ11" s="7" t="n"/>
      <c r="AR11" s="64">
        <f>SUM(Tabela2[[#This Row],[Nota de Prioridade Quantitativa(NOTAS: 1 PIOR NOTA; 5 MELHOR NOTA)]],Tabela2[[#This Row],[Nota de Prioridade Qualitativa(NOTAS: 1 PIOR NOTA;  5 MELHOR NOTA)]])</f>
        <v/>
      </c>
      <c r="AS11" s="7" t="n"/>
      <c r="AZ11" s="20">
        <f t="array" ref="AZ11">StatusCarga(G11,H11,J11,K11)</f>
        <v/>
      </c>
      <c r="BA11" s="20">
        <f>IF(AZ11="CONFORME","CONFORME ✓","NÃO CONFORME ✗")</f>
        <v/>
      </c>
      <c r="BB11" t="n">
        <v>0</v>
      </c>
      <c r="BC11" t="n">
        <v>60</v>
      </c>
      <c r="BD11" t="n">
        <v>0</v>
      </c>
      <c r="BE11" t="n">
        <v>0</v>
      </c>
      <c r="BF11" t="inlineStr">
        <is>
          <t>CONFORME</t>
        </is>
      </c>
    </row>
    <row r="12" ht="21.75" customFormat="1" customHeight="1" s="20" thickBot="1">
      <c r="A12" s="151" t="inlineStr">
        <is>
          <t>itabira</t>
        </is>
      </c>
      <c r="B12" s="77" t="inlineStr">
        <is>
          <t>CAUÊ</t>
        </is>
      </c>
      <c r="C12" s="79" t="inlineStr">
        <is>
          <t>CA65789</t>
        </is>
      </c>
      <c r="D12" s="77" t="inlineStr">
        <is>
          <t>AFEX</t>
        </is>
      </c>
      <c r="E12" s="78" t="inlineStr">
        <is>
          <t>CATERPILLAR</t>
        </is>
      </c>
      <c r="F12" s="78" t="inlineStr">
        <is>
          <t>CAT 793D</t>
        </is>
      </c>
      <c r="G12" s="81">
        <f>IFERROR(IF(F12=$AB$2,"",VLOOKUP(F12,'DATASHEET EQUIPAMENTOS'!D:N,2,FALSE)),"")</f>
        <v/>
      </c>
      <c r="H12" s="82" t="inlineStr">
        <is>
          <t>2x60lbs</t>
        </is>
      </c>
      <c r="I12" s="57">
        <f>_xlfn.XLOOKUP(Tabela2[[#This Row],[Modelo]],'DATASHEET EQUIPAMENTOS'!D:D,'DATASHEET EQUIPAMENTOS'!P:P,"",0,1)</f>
        <v/>
      </c>
      <c r="J12" s="81">
        <f>IF(F12=$Z$2,"",VLOOKUP(F12,'DATASHEET EQUIPAMENTOS'!D:N,3,FALSE))</f>
        <v/>
      </c>
      <c r="K12" s="84" t="inlineStr">
        <is>
          <t>1x15gal</t>
        </is>
      </c>
      <c r="L12" s="95">
        <f>IF(AZ12="CONFORME","CONFORME ✓","NÃO CONFORME ✗")</f>
        <v/>
      </c>
      <c r="M12" s="102">
        <f>IF(F12=$Z$2,"",VLOOKUP(F12,'DATASHEET EQUIPAMENTOS'!D:N,4,FALSE))</f>
        <v/>
      </c>
      <c r="N12" s="103" t="n">
        <v>6</v>
      </c>
      <c r="O12" s="102">
        <f>IF(F12=$Z$2,"",VLOOKUP(F12,'DATASHEET EQUIPAMENTOS'!D:N,5,FALSE))</f>
        <v/>
      </c>
      <c r="P12" s="103" t="n">
        <v>3</v>
      </c>
      <c r="Q12" s="102">
        <f>IF(F12=$Z$2,"",VLOOKUP(F12,'DATASHEET EQUIPAMENTOS'!D:N,6,FALSE))</f>
        <v/>
      </c>
      <c r="R12" s="104" t="n">
        <v>0</v>
      </c>
      <c r="S12" s="95">
        <f>IF(Tabela2[[#This Row],[Instalado Sensor Motor]]="Linear","CONFORME ✓",IF(SUM(M12,O12,Q12)&lt;SUM(N12,P12,R12),"CONFORME ✓",IF(SUM(M12,O12,Q12)=SUM(N12,P12,R12),"CONFORME ✓","NÃO CONFORME ✗")))</f>
        <v/>
      </c>
      <c r="T12" s="111">
        <f>IF(F12=$Z$2,"",VLOOKUP(F12,'DATASHEET EQUIPAMENTOS'!D:N,7,FALSE))</f>
        <v/>
      </c>
      <c r="U12" s="153" t="n">
        <v>18</v>
      </c>
      <c r="V12" s="56">
        <f>IF(F12=$Z$2,"",VLOOKUP(F12,'DATASHEET EQUIPAMENTOS'!D:N,8,FALSE))</f>
        <v/>
      </c>
      <c r="W12" s="62" t="n">
        <v>6</v>
      </c>
      <c r="X12" s="56">
        <f>IF(F12=$Z$2,"",VLOOKUP(F12,'DATASHEET EQUIPAMENTOS'!D:N,9,FALSE))</f>
        <v/>
      </c>
      <c r="Y12" s="62" t="n">
        <v>2</v>
      </c>
      <c r="Z12" s="57">
        <f>IF(SUM(T12,V12,X12)&lt;=SUM(U12,W12,Y12),"CONFORME ✓",IF(SUM(T12,V12,X12)&gt;SUM(U12,W12,Y12),"NÃO CONFORME ✗"))</f>
        <v/>
      </c>
      <c r="AA12" s="56">
        <f>IF(F12=$Z$2,"",VLOOKUP(F12,'DATASHEET EQUIPAMENTOS'!D:N,10,FALSE))</f>
        <v/>
      </c>
      <c r="AB12" s="57" t="n">
        <v>6</v>
      </c>
      <c r="AC12" s="56">
        <f>IF(F12=$Z$2,"",VLOOKUP(F12,'DATASHEET EQUIPAMENTOS'!D:N,11,FALSE))</f>
        <v/>
      </c>
      <c r="AD12" s="57" t="n">
        <v>0</v>
      </c>
      <c r="AE12" s="56">
        <f>IF(F12=$Z$2,"",VLOOKUP(F12,'DATASHEET EQUIPAMENTOS'!D:O,12,FALSE))</f>
        <v/>
      </c>
      <c r="AF12" s="57" t="n">
        <v>0</v>
      </c>
      <c r="AG12" s="57">
        <f>IF(SUM(AA12,AC12,AE12)&lt;=SUM(AB12,AD12,AF12),"CONFORME ✓",IF(SUM(AA12,AC12,AE12)&gt;SUM(AB12,AD12,AF12),"NÃO CONFORME ✗"))</f>
        <v/>
      </c>
      <c r="AH12" s="72" t="n">
        <v>2.5</v>
      </c>
      <c r="AI12" s="72" t="n">
        <v>2.5</v>
      </c>
      <c r="AJ12" s="72" t="n">
        <v>2.5</v>
      </c>
      <c r="AK12" s="57" t="inlineStr">
        <is>
          <t>LAYOUT DE INSTALAÇÃO DIFERENTE DOS DEMAIS 793D; Refazer as rotas dos cabos dos sensores; Refazer as rotas das mangueiras; Reposicionar painel e acionador da cabine; Retornar no equipamento e verificar quantidade de bicos.</t>
        </is>
      </c>
      <c r="AL12" s="58">
        <f>IFERROR(CALCULOS!H7,"NECESSÁRIO REVISAR DATASHEET")</f>
        <v/>
      </c>
      <c r="AM1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" s="64">
        <f>SUM(Tabela2[[#This Row],[Nota de Prioridade Quantitativa(NOTAS: 1 PIOR NOTA; 5 MELHOR NOTA)]],Tabela2[[#This Row],[Nota de Prioridade Qualitativa(NOTAS: 1 PIOR NOTA;  5 MELHOR NOTA)]])</f>
        <v/>
      </c>
      <c r="AO12" s="57" t="n">
        <v>149398</v>
      </c>
      <c r="AP12" s="64">
        <f>SUM(Tabela2[[#This Row],[Nota de Prioridade Quantitativa(NOTAS: 1 PIOR NOTA; 5 MELHOR NOTA)]],Tabela2[[#This Row],[Nota de Prioridade Qualitativa(NOTAS: 1 PIOR NOTA;  5 MELHOR NOTA)]])</f>
        <v/>
      </c>
      <c r="AQ12" s="7" t="n"/>
      <c r="AR12" s="64">
        <f>SUM(Tabela2[[#This Row],[Nota de Prioridade Quantitativa(NOTAS: 1 PIOR NOTA; 5 MELHOR NOTA)]],Tabela2[[#This Row],[Nota de Prioridade Qualitativa(NOTAS: 1 PIOR NOTA;  5 MELHOR NOTA)]])</f>
        <v/>
      </c>
      <c r="AS12" s="7" t="n"/>
      <c r="AZ12" s="20">
        <f t="array" ref="AZ12">StatusCarga(G12,H12,J12,K12)</f>
        <v/>
      </c>
      <c r="BA12" s="20">
        <f>IF(AZ12="CONFORME","CONFORME ✓","NÃO CONFORME ✗")</f>
        <v/>
      </c>
      <c r="BB12" t="n">
        <v>0</v>
      </c>
      <c r="BC12" t="n">
        <v>120</v>
      </c>
      <c r="BD12" t="n">
        <v>0</v>
      </c>
      <c r="BE12" t="n">
        <v>15</v>
      </c>
      <c r="BF12" t="inlineStr">
        <is>
          <t>CONFORME</t>
        </is>
      </c>
    </row>
    <row r="13" ht="22.5" customFormat="1" customHeight="1" s="20" thickBot="1" thickTop="1">
      <c r="A13" s="151" t="inlineStr">
        <is>
          <t>itabira</t>
        </is>
      </c>
      <c r="B13" s="77" t="inlineStr">
        <is>
          <t>CONCEIÇÃO</t>
        </is>
      </c>
      <c r="C13" s="78" t="inlineStr">
        <is>
          <t>PM4164</t>
        </is>
      </c>
      <c r="D13" s="77" t="inlineStr">
        <is>
          <t>AFEX</t>
        </is>
      </c>
      <c r="E13" s="78" t="inlineStr">
        <is>
          <t>CATERPILLAR</t>
        </is>
      </c>
      <c r="F13" s="78" t="inlineStr">
        <is>
          <t>CAT 988H</t>
        </is>
      </c>
      <c r="G13" s="81">
        <f>IFERROR(IF(F13=$AB$2,"",VLOOKUP(F13,'DATASHEET EQUIPAMENTOS'!D:N,2,FALSE)),"")</f>
        <v/>
      </c>
      <c r="H13" s="82" t="inlineStr">
        <is>
          <t>1x60lbs</t>
        </is>
      </c>
      <c r="I13" s="57">
        <f>_xlfn.XLOOKUP(Tabela2[[#This Row],[Modelo]],'DATASHEET EQUIPAMENTOS'!D:D,'DATASHEET EQUIPAMENTOS'!P:P,"",0,1)</f>
        <v/>
      </c>
      <c r="J13" s="81">
        <f>IF(F13=$Z$2,"",VLOOKUP(F13,'DATASHEET EQUIPAMENTOS'!D:N,3,FALSE))</f>
        <v/>
      </c>
      <c r="K13" s="84" t="n">
        <v>0</v>
      </c>
      <c r="L13" s="95">
        <f>IF(AZ13="CONFORME","CONFORME ✓","NÃO CONFORME ✗")</f>
        <v/>
      </c>
      <c r="M13" s="102">
        <f>IF(F13=$Z$2,"",VLOOKUP(F13,'DATASHEET EQUIPAMENTOS'!D:N,4,FALSE))</f>
        <v/>
      </c>
      <c r="N13" s="103" t="n">
        <v>4</v>
      </c>
      <c r="O13" s="102">
        <f>IF(F13=$Z$2,"",VLOOKUP(F13,'DATASHEET EQUIPAMENTOS'!D:N,5,FALSE))</f>
        <v/>
      </c>
      <c r="P13" s="103" t="n">
        <v>2</v>
      </c>
      <c r="Q13" s="102">
        <f>IF(F13=$Z$2,"",VLOOKUP(F13,'DATASHEET EQUIPAMENTOS'!D:N,6,FALSE))</f>
        <v/>
      </c>
      <c r="R13" s="104" t="n">
        <v>0</v>
      </c>
      <c r="S13" s="95">
        <f>IF(Tabela2[[#This Row],[Instalado Sensor Motor]]="Linear","CONFORME ✓",IF(SUM(M13,O13,Q13)&lt;SUM(N13,P13,R13),"CONFORME ✓",IF(SUM(M13,O13,Q13)=SUM(N13,P13,R13),"CONFORME ✓","NÃO CONFORME ✗")))</f>
        <v/>
      </c>
      <c r="T13" s="109">
        <f>IF(F13=$Z$2,"",VLOOKUP(F13,'DATASHEET EQUIPAMENTOS'!D:N,7,FALSE))</f>
        <v/>
      </c>
      <c r="U13" s="57" t="n">
        <v>6</v>
      </c>
      <c r="V13" s="56">
        <f>IF(F13=$Z$2,"",VLOOKUP(F13,'DATASHEET EQUIPAMENTOS'!D:N,8,FALSE))</f>
        <v/>
      </c>
      <c r="W13" s="57" t="n">
        <v>3</v>
      </c>
      <c r="X13" s="56">
        <f>IF(F13=$Z$2,"",VLOOKUP(F13,'DATASHEET EQUIPAMENTOS'!D:N,9,FALSE))</f>
        <v/>
      </c>
      <c r="Y13" s="57" t="n">
        <v>0</v>
      </c>
      <c r="Z13" s="57">
        <f>IF(SUM(T13,V13,X13)&lt;=SUM(U13,W13,Y13),"CONFORME ✓",IF(SUM(T13,V13,X13)&gt;SUM(U13,W13,Y13),"NÃO CONFORME ✗"))</f>
        <v/>
      </c>
      <c r="AA13" s="56">
        <f>IF(F13=$Z$2,"",VLOOKUP(F13,'DATASHEET EQUIPAMENTOS'!D:N,10,FALSE))</f>
        <v/>
      </c>
      <c r="AB13" s="57" t="n">
        <v>0</v>
      </c>
      <c r="AC13" s="56">
        <f>IF(F13=$Z$2,"",VLOOKUP(F13,'DATASHEET EQUIPAMENTOS'!D:N,11,FALSE))</f>
        <v/>
      </c>
      <c r="AD13" s="57" t="n">
        <v>0</v>
      </c>
      <c r="AE13" s="56">
        <f>IF(F13=$Z$2,"",VLOOKUP(F13,'DATASHEET EQUIPAMENTOS'!D:O,12,FALSE))</f>
        <v/>
      </c>
      <c r="AF13" s="57" t="n">
        <v>0</v>
      </c>
      <c r="AG13" s="57">
        <f>IF(SUM(AA13,AC13,AE13)&lt;=SUM(AB13,AD13,AF13),"CONFORME ✓",IF(SUM(AA13,AC13,AE13)&gt;SUM(AB13,AD13,AF13),"NÃO CONFORME ✗"))</f>
        <v/>
      </c>
      <c r="AH13" s="72" t="n">
        <v>2.5</v>
      </c>
      <c r="AI13" s="72" t="n">
        <v>4</v>
      </c>
      <c r="AJ13" s="72" t="n">
        <v>4</v>
      </c>
      <c r="AK13" s="7" t="n"/>
      <c r="AL13" s="58">
        <f>IFERROR(CALCULOS!H8,"NECESSÁRIO REVISAR DATASHEET")</f>
        <v/>
      </c>
      <c r="AM1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" s="64">
        <f>SUM(Tabela2[[#This Row],[Nota de Prioridade Quantitativa(NOTAS: 1 PIOR NOTA; 5 MELHOR NOTA)]],Tabela2[[#This Row],[Nota de Prioridade Qualitativa(NOTAS: 1 PIOR NOTA;  5 MELHOR NOTA)]])</f>
        <v/>
      </c>
      <c r="AO13" s="57" t="n">
        <v>149232</v>
      </c>
      <c r="AP13" s="64">
        <f>SUM(Tabela2[[#This Row],[Nota de Prioridade Quantitativa(NOTAS: 1 PIOR NOTA; 5 MELHOR NOTA)]],Tabela2[[#This Row],[Nota de Prioridade Qualitativa(NOTAS: 1 PIOR NOTA;  5 MELHOR NOTA)]])</f>
        <v/>
      </c>
      <c r="AQ13" s="7" t="n"/>
      <c r="AR13" s="64">
        <f>SUM(Tabela2[[#This Row],[Nota de Prioridade Quantitativa(NOTAS: 1 PIOR NOTA; 5 MELHOR NOTA)]],Tabela2[[#This Row],[Nota de Prioridade Qualitativa(NOTAS: 1 PIOR NOTA;  5 MELHOR NOTA)]])</f>
        <v/>
      </c>
      <c r="AS13" s="7" t="n"/>
      <c r="AZ13" s="20">
        <f t="array" ref="AZ13">StatusCarga(G13,H13,J13,K13)</f>
        <v/>
      </c>
      <c r="BA13" s="20">
        <f>IF(AZ13="CONFORME","CONFORME ✓","NÃO CONFORME ✗")</f>
        <v/>
      </c>
      <c r="BB13" t="n">
        <v>0</v>
      </c>
      <c r="BC13" t="n">
        <v>60</v>
      </c>
      <c r="BD13" t="n">
        <v>0</v>
      </c>
      <c r="BE13" t="n">
        <v>0</v>
      </c>
      <c r="BF13" t="inlineStr">
        <is>
          <t>CONFORME</t>
        </is>
      </c>
    </row>
    <row r="14" ht="21.75" customFormat="1" customHeight="1" s="20" thickBot="1">
      <c r="A14" s="151" t="inlineStr">
        <is>
          <t>itabira</t>
        </is>
      </c>
      <c r="B14" s="77" t="inlineStr">
        <is>
          <t>CAUÊ</t>
        </is>
      </c>
      <c r="C14" s="79" t="inlineStr">
        <is>
          <t>CA70965</t>
        </is>
      </c>
      <c r="D14" s="77" t="inlineStr">
        <is>
          <t>AFEX</t>
        </is>
      </c>
      <c r="E14" s="78" t="inlineStr">
        <is>
          <t>CATERPILLAR</t>
        </is>
      </c>
      <c r="F14" s="78" t="inlineStr">
        <is>
          <t>CAT 793F</t>
        </is>
      </c>
      <c r="G14" s="81">
        <f>IFERROR(IF(F14=$AB$2,"",VLOOKUP(F14,'DATASHEET EQUIPAMENTOS'!D:N,2,FALSE)),"")</f>
        <v/>
      </c>
      <c r="H14" s="82" t="inlineStr">
        <is>
          <t>2x60lbs</t>
        </is>
      </c>
      <c r="I14" s="57">
        <f>_xlfn.XLOOKUP(Tabela2[[#This Row],[Modelo]],'DATASHEET EQUIPAMENTOS'!D:D,'DATASHEET EQUIPAMENTOS'!P:P,"",0,1)</f>
        <v/>
      </c>
      <c r="J14" s="81">
        <f>IF(F14=$Z$2,"",VLOOKUP(F14,'DATASHEET EQUIPAMENTOS'!D:N,3,FALSE))</f>
        <v/>
      </c>
      <c r="K14" s="84" t="inlineStr">
        <is>
          <t>2x5gal</t>
        </is>
      </c>
      <c r="L14" s="95">
        <f>IF(AZ14="CONFORME","CONFORME ✓","NÃO CONFORME ✗")</f>
        <v/>
      </c>
      <c r="M14" s="102">
        <f>IF(F14=$Z$2,"",VLOOKUP(F14,'DATASHEET EQUIPAMENTOS'!D:N,4,FALSE))</f>
        <v/>
      </c>
      <c r="N14" s="103" t="n">
        <v>6</v>
      </c>
      <c r="O14" s="102">
        <f>IF(F14=$Z$2,"",VLOOKUP(F14,'DATASHEET EQUIPAMENTOS'!D:N,5,FALSE))</f>
        <v/>
      </c>
      <c r="P14" s="103" t="n">
        <v>3</v>
      </c>
      <c r="Q14" s="102">
        <f>IF(F14=$Z$2,"",VLOOKUP(F14,'DATASHEET EQUIPAMENTOS'!D:N,6,FALSE))</f>
        <v/>
      </c>
      <c r="R14" s="104" t="n">
        <v>0</v>
      </c>
      <c r="S14" s="95">
        <f>IF(Tabela2[[#This Row],[Instalado Sensor Motor]]="Linear","CONFORME ✓",IF(SUM(M14,O14,Q14)&lt;SUM(N14,P14,R14),"CONFORME ✓",IF(SUM(M14,O14,Q14)=SUM(N14,P14,R14),"CONFORME ✓","NÃO CONFORME ✗")))</f>
        <v/>
      </c>
      <c r="T14" s="91">
        <f>IF(F14=$Z$2,"",VLOOKUP(F14,'DATASHEET EQUIPAMENTOS'!D:N,7,FALSE))</f>
        <v/>
      </c>
      <c r="U14" s="57" t="n">
        <v>18</v>
      </c>
      <c r="V14" s="56">
        <f>IF(F14=$Z$2,"",VLOOKUP(F14,'DATASHEET EQUIPAMENTOS'!D:N,8,FALSE))</f>
        <v/>
      </c>
      <c r="W14" s="62" t="n">
        <v>4</v>
      </c>
      <c r="X14" s="56">
        <f>IF(F14=$Z$2,"",VLOOKUP(F14,'DATASHEET EQUIPAMENTOS'!D:N,9,FALSE))</f>
        <v/>
      </c>
      <c r="Y14" s="62" t="n">
        <v>2</v>
      </c>
      <c r="Z14" s="57">
        <f>IF(SUM(T14,V14,X14)&lt;=SUM(U14,W14,Y14),"CONFORME ✓",IF(SUM(T14,V14,X14)&gt;SUM(U14,W14,Y14),"NÃO CONFORME ✗"))</f>
        <v/>
      </c>
      <c r="AA14" s="56">
        <f>IF(F14=$Z$2,"",VLOOKUP(F14,'DATASHEET EQUIPAMENTOS'!D:N,10,FALSE))</f>
        <v/>
      </c>
      <c r="AB14" s="57" t="n">
        <v>6</v>
      </c>
      <c r="AC14" s="56">
        <f>IF(F14=$Z$2,"",VLOOKUP(F14,'DATASHEET EQUIPAMENTOS'!D:N,11,FALSE))</f>
        <v/>
      </c>
      <c r="AD14" s="57" t="n">
        <v>0</v>
      </c>
      <c r="AE14" s="56">
        <f>IF(F14=$Z$2,"",VLOOKUP(F14,'DATASHEET EQUIPAMENTOS'!D:O,12,FALSE))</f>
        <v/>
      </c>
      <c r="AF14" s="57" t="n">
        <v>0</v>
      </c>
      <c r="AG14" s="57">
        <f>IF(SUM(AA14,AC14,AE14)&lt;=SUM(AB14,AD14,AF14),"CONFORME ✓",IF(SUM(AA14,AC14,AE14)&gt;SUM(AB14,AD14,AF14),"NÃO CONFORME ✗"))</f>
        <v/>
      </c>
      <c r="AH14" s="72" t="n">
        <v>4</v>
      </c>
      <c r="AI14" s="72" t="n">
        <v>4</v>
      </c>
      <c r="AJ14" s="72" t="n">
        <v>4</v>
      </c>
      <c r="AK14" s="57" t="inlineStr">
        <is>
          <t>EQUIPAMENTO JÁ COM SISTEMA SUPRESSÃO DE INCÊNDIO DUAL SHOT.</t>
        </is>
      </c>
      <c r="AL14" s="58">
        <f>IFERROR(CALCULOS!H9,"NECESSÁRIO REVISAR DATASHEET")</f>
        <v/>
      </c>
      <c r="AM1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" s="64">
        <f>SUM(Tabela2[[#This Row],[Nota de Prioridade Quantitativa(NOTAS: 1 PIOR NOTA; 5 MELHOR NOTA)]],Tabela2[[#This Row],[Nota de Prioridade Qualitativa(NOTAS: 1 PIOR NOTA;  5 MELHOR NOTA)]])</f>
        <v/>
      </c>
      <c r="AO14" s="57" t="n">
        <v>149423</v>
      </c>
      <c r="AP14" s="64">
        <f>SUM(Tabela2[[#This Row],[Nota de Prioridade Quantitativa(NOTAS: 1 PIOR NOTA; 5 MELHOR NOTA)]],Tabela2[[#This Row],[Nota de Prioridade Qualitativa(NOTAS: 1 PIOR NOTA;  5 MELHOR NOTA)]])</f>
        <v/>
      </c>
      <c r="AQ14" s="7" t="n"/>
      <c r="AR14" s="64">
        <f>SUM(Tabela2[[#This Row],[Nota de Prioridade Quantitativa(NOTAS: 1 PIOR NOTA; 5 MELHOR NOTA)]],Tabela2[[#This Row],[Nota de Prioridade Qualitativa(NOTAS: 1 PIOR NOTA;  5 MELHOR NOTA)]])</f>
        <v/>
      </c>
      <c r="AS14" s="7" t="n"/>
      <c r="AZ14" s="20">
        <f t="array" ref="AZ14">StatusCarga(G14,H14,J14,K14)</f>
        <v/>
      </c>
      <c r="BA14" s="20">
        <f>IF(AZ14="CONFORME","CONFORME ✓","NÃO CONFORME ✗")</f>
        <v/>
      </c>
      <c r="BB14" t="n">
        <v>0</v>
      </c>
      <c r="BC14" t="n">
        <v>120</v>
      </c>
      <c r="BD14" t="n">
        <v>0</v>
      </c>
      <c r="BE14" t="n">
        <v>10</v>
      </c>
      <c r="BF14" t="inlineStr">
        <is>
          <t>CONFORME</t>
        </is>
      </c>
    </row>
    <row r="15" ht="21.75" customFormat="1" customHeight="1" s="20" thickBot="1">
      <c r="A15" s="151" t="inlineStr">
        <is>
          <t>itabira</t>
        </is>
      </c>
      <c r="B15" s="77" t="inlineStr">
        <is>
          <t>CAUÊ</t>
        </is>
      </c>
      <c r="C15" s="78" t="inlineStr">
        <is>
          <t>TT03</t>
        </is>
      </c>
      <c r="D15" s="77" t="inlineStr">
        <is>
          <t>AFEX</t>
        </is>
      </c>
      <c r="E15" s="78" t="inlineStr">
        <is>
          <t>CATERPILLAR</t>
        </is>
      </c>
      <c r="F15" s="78" t="inlineStr">
        <is>
          <t>CAT 793C</t>
        </is>
      </c>
      <c r="G15" s="81">
        <f>IFERROR(IF(F15=$AB$2,"",VLOOKUP(F15,'DATASHEET EQUIPAMENTOS'!D:N,2,FALSE)),"")</f>
        <v/>
      </c>
      <c r="H15" s="82" t="inlineStr">
        <is>
          <t>4x30lbs</t>
        </is>
      </c>
      <c r="I15" s="57">
        <f>_xlfn.XLOOKUP(Tabela2[[#This Row],[Modelo]],'DATASHEET EQUIPAMENTOS'!D:D,'DATASHEET EQUIPAMENTOS'!P:P,"",0,1)</f>
        <v/>
      </c>
      <c r="J15" s="81">
        <f>IF(F15=$Z$2,"",VLOOKUP(F15,'DATASHEET EQUIPAMENTOS'!D:N,3,FALSE))</f>
        <v/>
      </c>
      <c r="K15" s="84" t="n">
        <v>0</v>
      </c>
      <c r="L15" s="95">
        <f>IF(AZ15="CONFORME","CONFORME ✓","NÃO CONFORME ✗")</f>
        <v/>
      </c>
      <c r="M15" s="102">
        <f>IF(F15=$Z$2,"",VLOOKUP(F15,'DATASHEET EQUIPAMENTOS'!D:N,4,FALSE))</f>
        <v/>
      </c>
      <c r="N15" s="103" t="n">
        <v>6</v>
      </c>
      <c r="O15" s="102">
        <f>IF(F15=$Z$2,"",VLOOKUP(F15,'DATASHEET EQUIPAMENTOS'!D:N,5,FALSE))</f>
        <v/>
      </c>
      <c r="P15" s="103" t="n">
        <v>2</v>
      </c>
      <c r="Q15" s="102">
        <f>IF(F15=$Z$2,"",VLOOKUP(F15,'DATASHEET EQUIPAMENTOS'!D:N,6,FALSE))</f>
        <v/>
      </c>
      <c r="R15" s="104" t="n">
        <v>0</v>
      </c>
      <c r="S15" s="95">
        <f>IF(Tabela2[[#This Row],[Instalado Sensor Motor]]="Linear","CONFORME ✓",IF(SUM(M15,O15,Q15)&lt;SUM(N15,P15,R15),"CONFORME ✓",IF(SUM(M15,O15,Q15)=SUM(N15,P15,R15),"CONFORME ✓","NÃO CONFORME ✗")))</f>
        <v/>
      </c>
      <c r="T15" s="91">
        <f>IF(F15=$Z$2,"",VLOOKUP(F15,'DATASHEET EQUIPAMENTOS'!D:N,7,FALSE))</f>
        <v/>
      </c>
      <c r="U15" s="57" t="n">
        <v>18</v>
      </c>
      <c r="V15" s="56">
        <f>IF(F15=$Z$2,"",VLOOKUP(F15,'DATASHEET EQUIPAMENTOS'!D:N,8,FALSE))</f>
        <v/>
      </c>
      <c r="W15" s="57" t="n">
        <v>6</v>
      </c>
      <c r="X15" s="56">
        <f>IF(F15=$Z$2,"",VLOOKUP(F15,'DATASHEET EQUIPAMENTOS'!D:N,9,FALSE))</f>
        <v/>
      </c>
      <c r="Y15" s="57" t="n">
        <v>0</v>
      </c>
      <c r="Z15" s="57">
        <f>IF(SUM(T15,V15,X15)&lt;=SUM(U15,W15,Y15),"CONFORME ✓",IF(SUM(T15,V15,X15)&gt;SUM(U15,W15,Y15),"NÃO CONFORME ✗"))</f>
        <v/>
      </c>
      <c r="AA15" s="56">
        <f>IF(F15=$Z$2,"",VLOOKUP(F15,'DATASHEET EQUIPAMENTOS'!D:N,10,FALSE))</f>
        <v/>
      </c>
      <c r="AB15" s="57" t="n">
        <v>0</v>
      </c>
      <c r="AC15" s="56">
        <f>IF(F15=$Z$2,"",VLOOKUP(F15,'DATASHEET EQUIPAMENTOS'!D:N,11,FALSE))</f>
        <v/>
      </c>
      <c r="AD15" s="57" t="n">
        <v>0</v>
      </c>
      <c r="AE15" s="56">
        <f>IF(F15=$Z$2,"",VLOOKUP(F15,'DATASHEET EQUIPAMENTOS'!D:O,12,FALSE))</f>
        <v/>
      </c>
      <c r="AF15" s="57" t="n">
        <v>0</v>
      </c>
      <c r="AG15" s="57">
        <f>IF(SUM(AA15,AC15,AE15)&lt;=SUM(AB15,AD15,AF15),"CONFORME ✓",IF(SUM(AA15,AC15,AE15)&gt;SUM(AB15,AD15,AF15),"NÃO CONFORME ✗"))</f>
        <v/>
      </c>
      <c r="AH15" s="72" t="n">
        <v>2.5</v>
      </c>
      <c r="AI15" s="72" t="n">
        <v>4</v>
      </c>
      <c r="AJ15" s="72" t="n">
        <v>4</v>
      </c>
      <c r="AK15" s="57" t="inlineStr">
        <is>
          <t>REDIMENSIONAR POSICIONAMENTO DOS SENSORES</t>
        </is>
      </c>
      <c r="AL15" s="58">
        <f>IFERROR(CALCULOS!H10,"NECESSÁRIO REVISAR DATASHEET")</f>
        <v/>
      </c>
      <c r="AM1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" s="64">
        <f>SUM(Tabela2[[#This Row],[Nota de Prioridade Quantitativa(NOTAS: 1 PIOR NOTA; 5 MELHOR NOTA)]],Tabela2[[#This Row],[Nota de Prioridade Qualitativa(NOTAS: 1 PIOR NOTA;  5 MELHOR NOTA)]])</f>
        <v/>
      </c>
      <c r="AO15" s="57" t="n">
        <v>149424</v>
      </c>
      <c r="AP15" s="64">
        <f>SUM(Tabela2[[#This Row],[Nota de Prioridade Quantitativa(NOTAS: 1 PIOR NOTA; 5 MELHOR NOTA)]],Tabela2[[#This Row],[Nota de Prioridade Qualitativa(NOTAS: 1 PIOR NOTA;  5 MELHOR NOTA)]])</f>
        <v/>
      </c>
      <c r="AQ15" s="7" t="n"/>
      <c r="AR15" s="64">
        <f>SUM(Tabela2[[#This Row],[Nota de Prioridade Quantitativa(NOTAS: 1 PIOR NOTA; 5 MELHOR NOTA)]],Tabela2[[#This Row],[Nota de Prioridade Qualitativa(NOTAS: 1 PIOR NOTA;  5 MELHOR NOTA)]])</f>
        <v/>
      </c>
      <c r="AS15" s="7" t="n"/>
      <c r="AZ15" s="20">
        <f t="array" ref="AZ15">StatusCarga(G15,H15,J15,K15)</f>
        <v/>
      </c>
      <c r="BA15" s="20">
        <f>IF(AZ15="CONFORME","CONFORME ✓","NÃO CONFORME ✗")</f>
        <v/>
      </c>
      <c r="BB15" t="n">
        <v>0</v>
      </c>
      <c r="BC15" t="n">
        <v>120</v>
      </c>
      <c r="BD15" t="n">
        <v>0</v>
      </c>
      <c r="BE15" t="n">
        <v>0</v>
      </c>
      <c r="BF15" t="inlineStr">
        <is>
          <t>CONFORME</t>
        </is>
      </c>
    </row>
    <row r="16" ht="21.75" customFormat="1" customHeight="1" s="20" thickBot="1">
      <c r="A16" s="151" t="inlineStr">
        <is>
          <t>itabira</t>
        </is>
      </c>
      <c r="B16" s="77" t="inlineStr">
        <is>
          <t>CONCEIÇÃO</t>
        </is>
      </c>
      <c r="C16" s="78" t="inlineStr">
        <is>
          <t>MN1208</t>
        </is>
      </c>
      <c r="D16" s="77" t="inlineStr">
        <is>
          <t>AFEX</t>
        </is>
      </c>
      <c r="E16" s="78" t="inlineStr">
        <is>
          <t>XCMG</t>
        </is>
      </c>
      <c r="F16" s="78" t="inlineStr">
        <is>
          <t>XCMG GR3505</t>
        </is>
      </c>
      <c r="G16" s="81">
        <f>IFERROR(IF(F16=$AB$2,"",VLOOKUP(F16,'DATASHEET EQUIPAMENTOS'!D:N,2,FALSE)),"")</f>
        <v/>
      </c>
      <c r="H16" s="82" t="inlineStr">
        <is>
          <t>1x60lbs</t>
        </is>
      </c>
      <c r="I16" s="57">
        <f>_xlfn.XLOOKUP(Tabela2[[#This Row],[Modelo]],'DATASHEET EQUIPAMENTOS'!D:D,'DATASHEET EQUIPAMENTOS'!P:P,"",0,1)</f>
        <v/>
      </c>
      <c r="J16" s="81">
        <f>IF(F16=$Z$2,"",VLOOKUP(F16,'DATASHEET EQUIPAMENTOS'!D:N,3,FALSE))</f>
        <v/>
      </c>
      <c r="K16" s="84" t="inlineStr">
        <is>
          <t>1x5gal</t>
        </is>
      </c>
      <c r="L16" s="95">
        <f>IF(AZ16="CONFORME","CONFORME ✓","NÃO CONFORME ✗")</f>
        <v/>
      </c>
      <c r="M16" s="102">
        <f>IF(F16=$Z$2,"",VLOOKUP(F16,'DATASHEET EQUIPAMENTOS'!D:N,4,FALSE))</f>
        <v/>
      </c>
      <c r="N16" s="103" t="n">
        <v>4</v>
      </c>
      <c r="O16" s="102">
        <f>IF(F16=$Z$2,"",VLOOKUP(F16,'DATASHEET EQUIPAMENTOS'!D:N,5,FALSE))</f>
        <v/>
      </c>
      <c r="P16" s="103" t="n">
        <v>1</v>
      </c>
      <c r="Q16" s="102">
        <f>IF(F16=$Z$2,"",VLOOKUP(F16,'DATASHEET EQUIPAMENTOS'!D:N,6,FALSE))</f>
        <v/>
      </c>
      <c r="R16" s="104" t="n">
        <v>1</v>
      </c>
      <c r="S16" s="95">
        <f>IF(Tabela2[[#This Row],[Instalado Sensor Motor]]="Linear","CONFORME ✓",IF(SUM(M16,O16,Q16)&lt;SUM(N16,P16,R16),"CONFORME ✓",IF(SUM(M16,O16,Q16)=SUM(N16,P16,R16),"CONFORME ✓","NÃO CONFORME ✗")))</f>
        <v/>
      </c>
      <c r="T16" s="91">
        <f>IF(F16=$Z$2,"",VLOOKUP(F16,'DATASHEET EQUIPAMENTOS'!D:N,7,FALSE))</f>
        <v/>
      </c>
      <c r="U16" s="57" t="n">
        <v>6</v>
      </c>
      <c r="V16" s="56">
        <f>IF(F16=$Z$2,"",VLOOKUP(F16,'DATASHEET EQUIPAMENTOS'!D:N,8,FALSE))</f>
        <v/>
      </c>
      <c r="W16" s="62" t="n">
        <v>3</v>
      </c>
      <c r="X16" s="56">
        <f>IF(F16=$Z$2,"",VLOOKUP(F16,'DATASHEET EQUIPAMENTOS'!D:N,9,FALSE))</f>
        <v/>
      </c>
      <c r="Y16" s="62" t="n">
        <v>3</v>
      </c>
      <c r="Z16" s="57">
        <f>IF(SUM(T16,V16,X16)&lt;=SUM(U16,W16,Y16),"CONFORME ✓",IF(SUM(T16,V16,X16)&gt;SUM(U16,W16,Y16),"NÃO CONFORME ✗"))</f>
        <v/>
      </c>
      <c r="AA16" s="56">
        <f>IF(F16=$Z$2,"",VLOOKUP(F16,'DATASHEET EQUIPAMENTOS'!D:N,10,FALSE))</f>
        <v/>
      </c>
      <c r="AB16" s="57" t="n">
        <v>4</v>
      </c>
      <c r="AC16" s="56">
        <f>IF(F16=$Z$2,"",VLOOKUP(F16,'DATASHEET EQUIPAMENTOS'!D:N,11,FALSE))</f>
        <v/>
      </c>
      <c r="AD16" s="57" t="n">
        <v>0</v>
      </c>
      <c r="AE16" s="56">
        <f>IF(F16=$Z$2,"",VLOOKUP(F16,'DATASHEET EQUIPAMENTOS'!D:O,12,FALSE))</f>
        <v/>
      </c>
      <c r="AF16" s="62" t="n">
        <v>0</v>
      </c>
      <c r="AG16" s="57">
        <f>IF(SUM(AA16,AC16,AE16)&lt;=SUM(AB16,AD16,AF16),"CONFORME ✓",IF(SUM(AA16,AC16,AE16)&gt;SUM(AB16,AD16,AF16),"NÃO CONFORME ✗"))</f>
        <v/>
      </c>
      <c r="AH16" s="72" t="n">
        <v>4</v>
      </c>
      <c r="AI16" s="72" t="n">
        <v>4</v>
      </c>
      <c r="AJ16" s="72" t="n">
        <v>4</v>
      </c>
      <c r="AK16" s="7" t="inlineStr">
        <is>
          <t>Instalação recente</t>
        </is>
      </c>
      <c r="AL16" s="58">
        <f>IFERROR(CALCULOS!H11,"NECESSÁRIO REVISAR DATASHEET")</f>
        <v/>
      </c>
      <c r="AM1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" s="64">
        <f>SUM(Tabela2[[#This Row],[Nota de Prioridade Quantitativa(NOTAS: 1 PIOR NOTA; 5 MELHOR NOTA)]],Tabela2[[#This Row],[Nota de Prioridade Qualitativa(NOTAS: 1 PIOR NOTA;  5 MELHOR NOTA)]])</f>
        <v/>
      </c>
      <c r="AO16" s="57" t="n">
        <v>149522</v>
      </c>
      <c r="AP16" s="64">
        <f>SUM(Tabela2[[#This Row],[Nota de Prioridade Quantitativa(NOTAS: 1 PIOR NOTA; 5 MELHOR NOTA)]],Tabela2[[#This Row],[Nota de Prioridade Qualitativa(NOTAS: 1 PIOR NOTA;  5 MELHOR NOTA)]])</f>
        <v/>
      </c>
      <c r="AQ16" s="7" t="n"/>
      <c r="AR16" s="64">
        <f>SUM(Tabela2[[#This Row],[Nota de Prioridade Quantitativa(NOTAS: 1 PIOR NOTA; 5 MELHOR NOTA)]],Tabela2[[#This Row],[Nota de Prioridade Qualitativa(NOTAS: 1 PIOR NOTA;  5 MELHOR NOTA)]])</f>
        <v/>
      </c>
      <c r="AS16" s="7" t="n"/>
      <c r="AZ16" s="20">
        <f t="array" ref="AZ16">StatusCarga(G16,H16,J16,K16)</f>
        <v/>
      </c>
      <c r="BA16" s="20">
        <f>IF(AZ16="CONFORME","CONFORME ✓","NÃO CONFORME ✗")</f>
        <v/>
      </c>
      <c r="BB16" t="n">
        <v>0</v>
      </c>
      <c r="BC16" t="n">
        <v>60</v>
      </c>
      <c r="BD16" t="n">
        <v>0</v>
      </c>
      <c r="BE16" t="n">
        <v>5</v>
      </c>
      <c r="BF16" t="inlineStr">
        <is>
          <t>CONFORME</t>
        </is>
      </c>
    </row>
    <row r="17" ht="21.75" customFormat="1" customHeight="1" s="20" thickBot="1">
      <c r="A17" s="151" t="inlineStr">
        <is>
          <t>itabira</t>
        </is>
      </c>
      <c r="B17" s="77" t="inlineStr">
        <is>
          <t>CONCEIÇÃO</t>
        </is>
      </c>
      <c r="C17" s="79" t="inlineStr">
        <is>
          <t>MN1206</t>
        </is>
      </c>
      <c r="D17" s="77" t="inlineStr">
        <is>
          <t>AFEX</t>
        </is>
      </c>
      <c r="E17" s="78" t="inlineStr">
        <is>
          <t>XCMG</t>
        </is>
      </c>
      <c r="F17" s="78" t="inlineStr">
        <is>
          <t>XCMG GR3505</t>
        </is>
      </c>
      <c r="G17" s="81">
        <f>IFERROR(IF(F17=$AB$2,"",VLOOKUP(F17,'DATASHEET EQUIPAMENTOS'!D:N,2,FALSE)),"")</f>
        <v/>
      </c>
      <c r="H17" s="82" t="inlineStr">
        <is>
          <t>1x60lbs</t>
        </is>
      </c>
      <c r="I17" s="57">
        <f>_xlfn.XLOOKUP(Tabela2[[#This Row],[Modelo]],'DATASHEET EQUIPAMENTOS'!D:D,'DATASHEET EQUIPAMENTOS'!P:P,"",0,1)</f>
        <v/>
      </c>
      <c r="J17" s="81">
        <f>IF(F17=$Z$2,"",VLOOKUP(F17,'DATASHEET EQUIPAMENTOS'!D:N,3,FALSE))</f>
        <v/>
      </c>
      <c r="K17" s="84" t="inlineStr">
        <is>
          <t>1x5gal</t>
        </is>
      </c>
      <c r="L17" s="95">
        <f>IF(AZ17="CONFORME","CONFORME ✓","NÃO CONFORME ✗")</f>
        <v/>
      </c>
      <c r="M17" s="102">
        <f>IF(F17=$Z$2,"",VLOOKUP(F17,'DATASHEET EQUIPAMENTOS'!D:N,4,FALSE))</f>
        <v/>
      </c>
      <c r="N17" s="103" t="n">
        <v>4</v>
      </c>
      <c r="O17" s="102">
        <f>IF(F17=$Z$2,"",VLOOKUP(F17,'DATASHEET EQUIPAMENTOS'!D:N,5,FALSE))</f>
        <v/>
      </c>
      <c r="P17" s="103" t="n">
        <v>2</v>
      </c>
      <c r="Q17" s="102">
        <f>IF(F17=$Z$2,"",VLOOKUP(F17,'DATASHEET EQUIPAMENTOS'!D:N,6,FALSE))</f>
        <v/>
      </c>
      <c r="R17" s="104" t="n">
        <v>1</v>
      </c>
      <c r="S17" s="95">
        <f>IF(Tabela2[[#This Row],[Instalado Sensor Motor]]="Linear","CONFORME ✓",IF(SUM(M17,O17,Q17)&lt;SUM(N17,P17,R17),"CONFORME ✓",IF(SUM(M17,O17,Q17)=SUM(N17,P17,R17),"CONFORME ✓","NÃO CONFORME ✗")))</f>
        <v/>
      </c>
      <c r="T17" s="91">
        <f>IF(F17=$Z$2,"",VLOOKUP(F17,'DATASHEET EQUIPAMENTOS'!D:N,7,FALSE))</f>
        <v/>
      </c>
      <c r="U17" s="57" t="n">
        <v>6</v>
      </c>
      <c r="V17" s="56">
        <f>IF(F17=$Z$2,"",VLOOKUP(F17,'DATASHEET EQUIPAMENTOS'!D:N,8,FALSE))</f>
        <v/>
      </c>
      <c r="W17" s="62" t="n">
        <v>3</v>
      </c>
      <c r="X17" s="56">
        <f>IF(F17=$Z$2,"",VLOOKUP(F17,'DATASHEET EQUIPAMENTOS'!D:N,9,FALSE))</f>
        <v/>
      </c>
      <c r="Y17" s="62" t="n">
        <v>3</v>
      </c>
      <c r="Z17" s="57">
        <f>IF(SUM(T17,V17,X17)&lt;=SUM(U17,W17,Y17),"CONFORME ✓",IF(SUM(T17,V17,X17)&gt;SUM(U17,W17,Y17),"NÃO CONFORME ✗"))</f>
        <v/>
      </c>
      <c r="AA17" s="56">
        <f>IF(F17=$Z$2,"",VLOOKUP(F17,'DATASHEET EQUIPAMENTOS'!D:N,10,FALSE))</f>
        <v/>
      </c>
      <c r="AB17" s="57" t="n">
        <v>4</v>
      </c>
      <c r="AC17" s="56">
        <f>IF(F17=$Z$2,"",VLOOKUP(F17,'DATASHEET EQUIPAMENTOS'!D:N,11,FALSE))</f>
        <v/>
      </c>
      <c r="AD17" s="57" t="n">
        <v>0</v>
      </c>
      <c r="AE17" s="56">
        <f>IF(F17=$Z$2,"",VLOOKUP(F17,'DATASHEET EQUIPAMENTOS'!D:O,12,FALSE))</f>
        <v/>
      </c>
      <c r="AF17" s="57" t="n">
        <v>0</v>
      </c>
      <c r="AG17" s="57">
        <f>IF(SUM(AA17,AC17,AE17)&lt;=SUM(AB17,AD17,AF17),"CONFORME ✓",IF(SUM(AA17,AC17,AE17)&gt;SUM(AB17,AD17,AF17),"NÃO CONFORME ✗"))</f>
        <v/>
      </c>
      <c r="AH17" s="72" t="n">
        <v>4</v>
      </c>
      <c r="AI17" s="72" t="n">
        <v>4</v>
      </c>
      <c r="AJ17" s="72" t="n">
        <v>4</v>
      </c>
      <c r="AK17" s="7" t="inlineStr">
        <is>
          <t>Instalação recente</t>
        </is>
      </c>
      <c r="AL17" s="58">
        <f>IFERROR(CALCULOS!H12,"NECESSÁRIO REVISAR DATASHEET")</f>
        <v/>
      </c>
      <c r="AM1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" s="64">
        <f>SUM(Tabela2[[#This Row],[Nota de Prioridade Quantitativa(NOTAS: 1 PIOR NOTA; 5 MELHOR NOTA)]],Tabela2[[#This Row],[Nota de Prioridade Qualitativa(NOTAS: 1 PIOR NOTA;  5 MELHOR NOTA)]])</f>
        <v/>
      </c>
      <c r="AO17" s="57" t="n">
        <v>149523</v>
      </c>
      <c r="AP17" s="64">
        <f>SUM(Tabela2[[#This Row],[Nota de Prioridade Quantitativa(NOTAS: 1 PIOR NOTA; 5 MELHOR NOTA)]],Tabela2[[#This Row],[Nota de Prioridade Qualitativa(NOTAS: 1 PIOR NOTA;  5 MELHOR NOTA)]])</f>
        <v/>
      </c>
      <c r="AQ17" s="7" t="n"/>
      <c r="AR17" s="64">
        <f>SUM(Tabela2[[#This Row],[Nota de Prioridade Quantitativa(NOTAS: 1 PIOR NOTA; 5 MELHOR NOTA)]],Tabela2[[#This Row],[Nota de Prioridade Qualitativa(NOTAS: 1 PIOR NOTA;  5 MELHOR NOTA)]])</f>
        <v/>
      </c>
      <c r="AS17" s="7" t="n"/>
      <c r="AZ17" s="20">
        <f t="array" ref="AZ17">StatusCarga(G17,H17,J17,K17)</f>
        <v/>
      </c>
      <c r="BA17" s="20">
        <f>IF(AZ17="CONFORME","CONFORME ✓","NÃO CONFORME ✗")</f>
        <v/>
      </c>
      <c r="BB17" t="n">
        <v>0</v>
      </c>
      <c r="BC17" t="n">
        <v>60</v>
      </c>
      <c r="BD17" t="n">
        <v>0</v>
      </c>
      <c r="BE17" t="n">
        <v>5</v>
      </c>
      <c r="BF17" t="inlineStr">
        <is>
          <t>CONFORME</t>
        </is>
      </c>
    </row>
    <row r="18" ht="21.75" customFormat="1" customHeight="1" s="20" thickBot="1">
      <c r="A18" s="151" t="inlineStr">
        <is>
          <t>itabira</t>
        </is>
      </c>
      <c r="B18" s="77" t="inlineStr">
        <is>
          <t>CONCEIÇÃO</t>
        </is>
      </c>
      <c r="C18" s="78" t="inlineStr">
        <is>
          <t>TE2304</t>
        </is>
      </c>
      <c r="D18" s="77" t="inlineStr">
        <is>
          <t>AFEX</t>
        </is>
      </c>
      <c r="E18" s="78" t="inlineStr">
        <is>
          <t>KOMATSU</t>
        </is>
      </c>
      <c r="F18" s="78" t="inlineStr">
        <is>
          <t>Komatsu D475A-8R</t>
        </is>
      </c>
      <c r="G18" s="81">
        <f>IFERROR(IF(F18=$AB$2,"",VLOOKUP(F18,'DATASHEET EQUIPAMENTOS'!D:N,2,FALSE)),"")</f>
        <v/>
      </c>
      <c r="H18" s="82" t="inlineStr">
        <is>
          <t>1x30lbs + 1x60lbs</t>
        </is>
      </c>
      <c r="I18" s="57">
        <f>_xlfn.XLOOKUP(Tabela2[[#This Row],[Modelo]],'DATASHEET EQUIPAMENTOS'!D:D,'DATASHEET EQUIPAMENTOS'!P:P,"",0,1)</f>
        <v/>
      </c>
      <c r="J18" s="81">
        <f>IF(F18=$Z$2,"",VLOOKUP(F18,'DATASHEET EQUIPAMENTOS'!D:N,3,FALSE))</f>
        <v/>
      </c>
      <c r="K18" s="84" t="inlineStr">
        <is>
          <t>1x5gal</t>
        </is>
      </c>
      <c r="L18" s="95">
        <f>IF(AZ18="CONFORME","CONFORME ✓","NÃO CONFORME ✗")</f>
        <v/>
      </c>
      <c r="M18" s="102">
        <f>IF(F18=$Z$2,"",VLOOKUP(F18,'DATASHEET EQUIPAMENTOS'!D:N,4,FALSE))</f>
        <v/>
      </c>
      <c r="N18" s="103" t="n">
        <v>2</v>
      </c>
      <c r="O18" s="102">
        <f>IF(F18=$Z$2,"",VLOOKUP(F18,'DATASHEET EQUIPAMENTOS'!D:N,5,FALSE))</f>
        <v/>
      </c>
      <c r="P18" s="103" t="n">
        <v>2</v>
      </c>
      <c r="Q18" s="102">
        <f>IF(F18=$Z$2,"",VLOOKUP(F18,'DATASHEET EQUIPAMENTOS'!D:N,6,FALSE))</f>
        <v/>
      </c>
      <c r="R18" s="104" t="n">
        <v>1</v>
      </c>
      <c r="S18" s="95">
        <f>IF(Tabela2[[#This Row],[Instalado Sensor Motor]]="Linear","CONFORME ✓",IF(SUM(M18,O18,Q18)&lt;SUM(N18,P18,R18),"CONFORME ✓",IF(SUM(M18,O18,Q18)=SUM(N18,P18,R18),"CONFORME ✓","NÃO CONFORME ✗")))</f>
        <v/>
      </c>
      <c r="T18" s="91">
        <f>IF(F18=$Z$2,"",VLOOKUP(F18,'DATASHEET EQUIPAMENTOS'!D:N,7,FALSE))</f>
        <v/>
      </c>
      <c r="U18" s="57" t="n">
        <v>6</v>
      </c>
      <c r="V18" s="56">
        <f>IF(F18=$Z$2,"",VLOOKUP(F18,'DATASHEET EQUIPAMENTOS'!D:N,8,FALSE))</f>
        <v/>
      </c>
      <c r="W18" s="57" t="n">
        <v>6</v>
      </c>
      <c r="X18" s="56">
        <f>IF(F18=$Z$2,"",VLOOKUP(F18,'DATASHEET EQUIPAMENTOS'!D:N,9,FALSE))</f>
        <v/>
      </c>
      <c r="Y18" s="57" t="n">
        <v>6</v>
      </c>
      <c r="Z18" s="57">
        <f>IF(SUM(T18,V18,X18)&lt;=SUM(U18,W18,Y18),"CONFORME ✓",IF(SUM(T18,V18,X18)&gt;SUM(U18,W18,Y18),"NÃO CONFORME ✗"))</f>
        <v/>
      </c>
      <c r="AA18" s="56">
        <f>IF(F18=$Z$2,"",VLOOKUP(F18,'DATASHEET EQUIPAMENTOS'!D:N,10,FALSE))</f>
        <v/>
      </c>
      <c r="AB18" s="57" t="n">
        <v>4</v>
      </c>
      <c r="AC18" s="56">
        <f>IF(F18=$Z$2,"",VLOOKUP(F18,'DATASHEET EQUIPAMENTOS'!D:N,11,FALSE))</f>
        <v/>
      </c>
      <c r="AD18" s="57" t="n">
        <v>2</v>
      </c>
      <c r="AE18" s="56">
        <f>IF(F18=$Z$2,"",VLOOKUP(F18,'DATASHEET EQUIPAMENTOS'!D:O,12,FALSE))</f>
        <v/>
      </c>
      <c r="AF18" s="57" t="n">
        <v>4</v>
      </c>
      <c r="AG18" s="57">
        <f>IF(SUM(AA18,AC18,AE18)&lt;=SUM(AB18,AD18,AF18),"CONFORME ✓",IF(SUM(AA18,AC18,AE18)&gt;SUM(AB18,AD18,AF18),"NÃO CONFORME ✗"))</f>
        <v/>
      </c>
      <c r="AH18" s="72" t="n">
        <v>4</v>
      </c>
      <c r="AI18" s="72" t="n">
        <v>4</v>
      </c>
      <c r="AJ18" s="72" t="n">
        <v>4</v>
      </c>
      <c r="AK18" s="57" t="inlineStr">
        <is>
          <t>ADICIONAR DE ALGUMAS CAPA DE PROTEÇÃO DOS BICOS</t>
        </is>
      </c>
      <c r="AL18" s="58">
        <f>IFERROR(CALCULOS!H13,"NECESSÁRIO REVISAR DATASHEET")</f>
        <v/>
      </c>
      <c r="AM1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" s="64">
        <f>SUM(Tabela2[[#This Row],[Nota de Prioridade Quantitativa(NOTAS: 1 PIOR NOTA; 5 MELHOR NOTA)]],Tabela2[[#This Row],[Nota de Prioridade Qualitativa(NOTAS: 1 PIOR NOTA;  5 MELHOR NOTA)]])</f>
        <v/>
      </c>
      <c r="AO18" s="57" t="n">
        <v>149524</v>
      </c>
      <c r="AP18" s="64">
        <f>SUM(Tabela2[[#This Row],[Nota de Prioridade Quantitativa(NOTAS: 1 PIOR NOTA; 5 MELHOR NOTA)]],Tabela2[[#This Row],[Nota de Prioridade Qualitativa(NOTAS: 1 PIOR NOTA;  5 MELHOR NOTA)]])</f>
        <v/>
      </c>
      <c r="AQ18" s="7" t="n"/>
      <c r="AR18" s="64">
        <f>SUM(Tabela2[[#This Row],[Nota de Prioridade Quantitativa(NOTAS: 1 PIOR NOTA; 5 MELHOR NOTA)]],Tabela2[[#This Row],[Nota de Prioridade Qualitativa(NOTAS: 1 PIOR NOTA;  5 MELHOR NOTA)]])</f>
        <v/>
      </c>
      <c r="AS18" s="7" t="n"/>
      <c r="AZ18" s="20">
        <f t="array" ref="AZ18">StatusCarga(G18,H18,J18,K18)</f>
        <v/>
      </c>
      <c r="BA18" s="20">
        <f>IF(AZ18="CONFORME","CONFORME ✓","NÃO CONFORME ✗")</f>
        <v/>
      </c>
      <c r="BB18" t="n">
        <v>0</v>
      </c>
      <c r="BC18" t="n">
        <v>90</v>
      </c>
      <c r="BD18" t="n">
        <v>0</v>
      </c>
      <c r="BE18" t="n">
        <v>5</v>
      </c>
      <c r="BF18" t="inlineStr">
        <is>
          <t>CONFORME</t>
        </is>
      </c>
    </row>
    <row r="19" ht="21.75" customFormat="1" customHeight="1" s="20" thickBot="1">
      <c r="A19" s="151" t="inlineStr">
        <is>
          <t>itabira</t>
        </is>
      </c>
      <c r="B19" s="77" t="inlineStr">
        <is>
          <t>CONCEIÇÃO</t>
        </is>
      </c>
      <c r="C19" s="79" t="inlineStr">
        <is>
          <t>MN1204</t>
        </is>
      </c>
      <c r="D19" s="77" t="inlineStr">
        <is>
          <t>AFEX</t>
        </is>
      </c>
      <c r="E19" s="78" t="inlineStr">
        <is>
          <t>XCMG</t>
        </is>
      </c>
      <c r="F19" s="78" t="inlineStr">
        <is>
          <t>XCMG GR3505</t>
        </is>
      </c>
      <c r="G19" s="81">
        <f>IFERROR(IF(F19=$AB$2,"",VLOOKUP(F19,'DATASHEET EQUIPAMENTOS'!D:N,2,FALSE)),"")</f>
        <v/>
      </c>
      <c r="H19" s="82" t="inlineStr">
        <is>
          <t>1x60lbs</t>
        </is>
      </c>
      <c r="I19" s="57">
        <f>_xlfn.XLOOKUP(Tabela2[[#This Row],[Modelo]],'DATASHEET EQUIPAMENTOS'!D:D,'DATASHEET EQUIPAMENTOS'!P:P,"",0,1)</f>
        <v/>
      </c>
      <c r="J19" s="81">
        <f>IF(F19=$Z$2,"",VLOOKUP(F19,'DATASHEET EQUIPAMENTOS'!D:N,3,FALSE))</f>
        <v/>
      </c>
      <c r="K19" s="84" t="inlineStr">
        <is>
          <t>1x5gal</t>
        </is>
      </c>
      <c r="L19" s="95">
        <f>IF(AZ19="CONFORME","CONFORME ✓","NÃO CONFORME ✗")</f>
        <v/>
      </c>
      <c r="M19" s="102">
        <f>IF(F19=$Z$2,"",VLOOKUP(F19,'DATASHEET EQUIPAMENTOS'!D:N,4,FALSE))</f>
        <v/>
      </c>
      <c r="N19" s="103" t="n">
        <v>5</v>
      </c>
      <c r="O19" s="102">
        <f>IF(F19=$Z$2,"",VLOOKUP(F19,'DATASHEET EQUIPAMENTOS'!D:N,5,FALSE))</f>
        <v/>
      </c>
      <c r="P19" s="103" t="n">
        <v>0</v>
      </c>
      <c r="Q19" s="102">
        <f>IF(F19=$Z$2,"",VLOOKUP(F19,'DATASHEET EQUIPAMENTOS'!D:N,6,FALSE))</f>
        <v/>
      </c>
      <c r="R19" s="104" t="n">
        <v>1</v>
      </c>
      <c r="S19" s="95">
        <f>IF(Tabela2[[#This Row],[Instalado Sensor Motor]]="Linear","CONFORME ✓",IF(SUM(M19,O19,Q19)&lt;SUM(N19,P19,R19),"CONFORME ✓",IF(SUM(M19,O19,Q19)=SUM(N19,P19,R19),"CONFORME ✓","NÃO CONFORME ✗")))</f>
        <v/>
      </c>
      <c r="T19" s="91">
        <f>IF(F19=$Z$2,"",VLOOKUP(F19,'DATASHEET EQUIPAMENTOS'!D:N,7,FALSE))</f>
        <v/>
      </c>
      <c r="U19" s="57" t="n">
        <v>6</v>
      </c>
      <c r="V19" s="56">
        <f>IF(F19=$Z$2,"",VLOOKUP(F19,'DATASHEET EQUIPAMENTOS'!D:N,8,FALSE))</f>
        <v/>
      </c>
      <c r="W19" s="62" t="n">
        <v>3</v>
      </c>
      <c r="X19" s="56">
        <f>IF(F19=$Z$2,"",VLOOKUP(F19,'DATASHEET EQUIPAMENTOS'!D:N,9,FALSE))</f>
        <v/>
      </c>
      <c r="Y19" s="62" t="n">
        <v>3</v>
      </c>
      <c r="Z19" s="57">
        <f>IF(SUM(T19,V19,X19)&lt;=SUM(U19,W19,Y19),"CONFORME ✓",IF(SUM(T19,V19,X19)&gt;SUM(U19,W19,Y19),"NÃO CONFORME ✗"))</f>
        <v/>
      </c>
      <c r="AA19" s="56">
        <f>IF(F19=$Z$2,"",VLOOKUP(F19,'DATASHEET EQUIPAMENTOS'!D:N,10,FALSE))</f>
        <v/>
      </c>
      <c r="AB19" s="57" t="n">
        <v>4</v>
      </c>
      <c r="AC19" s="56">
        <f>IF(F19=$Z$2,"",VLOOKUP(F19,'DATASHEET EQUIPAMENTOS'!D:N,11,FALSE))</f>
        <v/>
      </c>
      <c r="AD19" s="62" t="n">
        <v>0</v>
      </c>
      <c r="AE19" s="56">
        <f>IF(F19=$Z$2,"",VLOOKUP(F19,'DATASHEET EQUIPAMENTOS'!D:O,12,FALSE))</f>
        <v/>
      </c>
      <c r="AF19" s="62" t="n">
        <v>0</v>
      </c>
      <c r="AG19" s="57">
        <f>IF(SUM(AA19,AC19,AE19)&lt;=SUM(AB19,AD19,AF19),"CONFORME ✓",IF(SUM(AA19,AC19,AE19)&gt;SUM(AB19,AD19,AF19),"NÃO CONFORME ✗"))</f>
        <v/>
      </c>
      <c r="AH19" s="72" t="n">
        <v>4</v>
      </c>
      <c r="AI19" s="72" t="n">
        <v>4</v>
      </c>
      <c r="AJ19" s="72" t="n">
        <v>4</v>
      </c>
      <c r="AK19" s="7" t="inlineStr">
        <is>
          <t>Instalação recente</t>
        </is>
      </c>
      <c r="AL19" s="58">
        <f>IFERROR(CALCULOS!H14,"NECESSÁRIO REVISAR DATASHEET")</f>
        <v/>
      </c>
      <c r="AM1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" s="64">
        <f>SUM(Tabela2[[#This Row],[Nota de Prioridade Quantitativa(NOTAS: 1 PIOR NOTA; 5 MELHOR NOTA)]],Tabela2[[#This Row],[Nota de Prioridade Qualitativa(NOTAS: 1 PIOR NOTA;  5 MELHOR NOTA)]])</f>
        <v/>
      </c>
      <c r="AO19" s="57" t="n">
        <v>149763</v>
      </c>
      <c r="AP19" s="64">
        <f>SUM(Tabela2[[#This Row],[Nota de Prioridade Quantitativa(NOTAS: 1 PIOR NOTA; 5 MELHOR NOTA)]],Tabela2[[#This Row],[Nota de Prioridade Qualitativa(NOTAS: 1 PIOR NOTA;  5 MELHOR NOTA)]])</f>
        <v/>
      </c>
      <c r="AQ19" s="7" t="n"/>
      <c r="AR19" s="64">
        <f>SUM(Tabela2[[#This Row],[Nota de Prioridade Quantitativa(NOTAS: 1 PIOR NOTA; 5 MELHOR NOTA)]],Tabela2[[#This Row],[Nota de Prioridade Qualitativa(NOTAS: 1 PIOR NOTA;  5 MELHOR NOTA)]])</f>
        <v/>
      </c>
      <c r="AS19" s="7" t="n"/>
      <c r="AZ19" s="20">
        <f t="array" ref="AZ19">StatusCarga(G19,H19,J19,K19)</f>
        <v/>
      </c>
      <c r="BA19" s="20">
        <f>IF(AZ19="CONFORME","CONFORME ✓","NÃO CONFORME ✗")</f>
        <v/>
      </c>
      <c r="BB19" t="n">
        <v>0</v>
      </c>
      <c r="BC19" t="n">
        <v>60</v>
      </c>
      <c r="BD19" t="n">
        <v>0</v>
      </c>
      <c r="BE19" t="n">
        <v>5</v>
      </c>
      <c r="BF19" t="inlineStr">
        <is>
          <t>CONFORME</t>
        </is>
      </c>
    </row>
    <row r="20" hidden="1" ht="21.75" customFormat="1" customHeight="1" s="20" thickBot="1">
      <c r="A20" s="77" t="inlineStr">
        <is>
          <t>Paraoupeba</t>
        </is>
      </c>
      <c r="B20" s="77" t="inlineStr">
        <is>
          <t>Fábrica</t>
        </is>
      </c>
      <c r="C20" s="80" t="inlineStr">
        <is>
          <t>CA5314</t>
        </is>
      </c>
      <c r="D20" s="80" t="inlineStr">
        <is>
          <t>AFEX</t>
        </is>
      </c>
      <c r="E20" s="78" t="inlineStr">
        <is>
          <t>CATERPILLAR</t>
        </is>
      </c>
      <c r="F20" s="80" t="inlineStr">
        <is>
          <t>CAT 777G</t>
        </is>
      </c>
      <c r="G20" s="81">
        <f>IFERROR(IF(F20=$AB$2,"",VLOOKUP(F20,'DATASHEET EQUIPAMENTOS'!D:N,2,FALSE)),"")</f>
        <v/>
      </c>
      <c r="H20" s="82" t="inlineStr">
        <is>
          <t>3x30lbs</t>
        </is>
      </c>
      <c r="I20" s="57">
        <f>_xlfn.XLOOKUP(Tabela2[[#This Row],[Modelo]],'DATASHEET EQUIPAMENTOS'!D:D,'DATASHEET EQUIPAMENTOS'!P:P,"",0,1)</f>
        <v/>
      </c>
      <c r="J20" s="81">
        <f>IF(F20=$Z$2,"",VLOOKUP(F20,'DATASHEET EQUIPAMENTOS'!D:N,3,FALSE))</f>
        <v/>
      </c>
      <c r="K20" s="85" t="n">
        <v>0</v>
      </c>
      <c r="L20" s="95">
        <f>IF(AZ20="CONFORME","CONFORME ✓","NÃO CONFORME ✗")</f>
        <v/>
      </c>
      <c r="M20" s="119">
        <f>IF(F20=$Z$2,"",VLOOKUP(F20,'DATASHEET EQUIPAMENTOS'!D:N,4,FALSE))</f>
        <v/>
      </c>
      <c r="N20" s="98" t="n">
        <v>5</v>
      </c>
      <c r="O20" s="97">
        <f>IF(F20=$Z$2,"",VLOOKUP(F20,'DATASHEET EQUIPAMENTOS'!D:N,5,FALSE))</f>
        <v/>
      </c>
      <c r="P20" s="99" t="n">
        <v>2</v>
      </c>
      <c r="Q20" s="97">
        <f>IF(F20=$Z$2,"",VLOOKUP(F20,'DATASHEET EQUIPAMENTOS'!D:N,6,FALSE))</f>
        <v/>
      </c>
      <c r="R20" s="99" t="n">
        <v>2</v>
      </c>
      <c r="S20" s="100">
        <f>IF(Tabela2[[#This Row],[Instalado Sensor Motor]]="Linear","CONFORME ✓",IF(SUM(M20,O20,Q20)&lt;SUM(N20,P20,R20),"CONFORME ✓",IF(SUM(M20,O20,Q20)=SUM(N20,P20,R20),"CONFORME ✓","NÃO CONFORME ✗")))</f>
        <v/>
      </c>
      <c r="T20" s="91">
        <f>IF(F20=$Z$2,"",VLOOKUP(F20,'DATASHEET EQUIPAMENTOS'!D:N,7,FALSE))</f>
        <v/>
      </c>
      <c r="U20" s="57" t="n">
        <v>12</v>
      </c>
      <c r="V20" s="56">
        <f>IF(F20=$Z$2,"",VLOOKUP(F20,'DATASHEET EQUIPAMENTOS'!D:N,8,FALSE))</f>
        <v/>
      </c>
      <c r="W20" s="57" t="n">
        <v>3</v>
      </c>
      <c r="X20" s="56">
        <f>IF(F20=$Z$2,"",VLOOKUP(F20,'DATASHEET EQUIPAMENTOS'!D:N,9,FALSE))</f>
        <v/>
      </c>
      <c r="Y20" s="57" t="n">
        <v>3</v>
      </c>
      <c r="Z20" s="57">
        <f>IF(SUM(T20,V20,X20)&lt;=SUM(U20,W20,Y20),"CONFORME ✓",IF(SUM(T20,V20,X20)&gt;SUM(U20,W20,Y20),"NÃO CONFORME ✗"))</f>
        <v/>
      </c>
      <c r="AA20" s="56">
        <f>IF(F20=$Z$2,"",VLOOKUP(F20,'DATASHEET EQUIPAMENTOS'!D:N,10,FALSE))</f>
        <v/>
      </c>
      <c r="AB20" s="57" t="n"/>
      <c r="AC20" s="56">
        <f>IF(F20=$Z$2,"",VLOOKUP(F20,'DATASHEET EQUIPAMENTOS'!D:N,11,FALSE))</f>
        <v/>
      </c>
      <c r="AD20" s="57" t="n"/>
      <c r="AE20" s="56">
        <f>IF(F20=$Z$2,"",VLOOKUP(F20,'DATASHEET EQUIPAMENTOS'!D:O,12,FALSE))</f>
        <v/>
      </c>
      <c r="AF20" s="57" t="n"/>
      <c r="AG20" s="57">
        <f>IF(SUM(AA20,AC20,AE20)&lt;=SUM(AB20,AD20,AF20),"CONFORME ✓",IF(SUM(AA20,AC20,AE20)&gt;SUM(AB20,AD20,AF20),"NÃO CONFORME ✗"))</f>
        <v/>
      </c>
      <c r="AH20" s="72" t="n">
        <v>3</v>
      </c>
      <c r="AI20" s="72" t="n">
        <v>3</v>
      </c>
      <c r="AJ20" s="72" t="n">
        <v>5</v>
      </c>
      <c r="AK20" s="7" t="inlineStr">
        <is>
          <t>ADEQUAR FIXAÇÃO DOS CABOS DOS SENSORES;</t>
        </is>
      </c>
      <c r="AL20" s="58">
        <f>IFERROR(CALCULOS!H15,"NECESSÁRIO REVISAR DATASHEET")</f>
        <v/>
      </c>
      <c r="AM2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" s="64">
        <f>SUM(Tabela2[[#This Row],[Nota de Prioridade Quantitativa(NOTAS: 1 PIOR NOTA; 5 MELHOR NOTA)]],Tabela2[[#This Row],[Nota de Prioridade Qualitativa(NOTAS: 1 PIOR NOTA;  5 MELHOR NOTA)]])</f>
        <v/>
      </c>
      <c r="AO20" s="7" t="n">
        <v>152048</v>
      </c>
      <c r="AP20" s="64">
        <f>SUM(Tabela2[[#This Row],[Nota de Prioridade Quantitativa(NOTAS: 1 PIOR NOTA; 5 MELHOR NOTA)]],Tabela2[[#This Row],[Nota de Prioridade Qualitativa(NOTAS: 1 PIOR NOTA;  5 MELHOR NOTA)]])</f>
        <v/>
      </c>
      <c r="AQ20" s="7" t="n"/>
      <c r="AR20" s="64">
        <f>SUM(Tabela2[[#This Row],[Nota de Prioridade Quantitativa(NOTAS: 1 PIOR NOTA; 5 MELHOR NOTA)]],Tabela2[[#This Row],[Nota de Prioridade Qualitativa(NOTAS: 1 PIOR NOTA;  5 MELHOR NOTA)]])</f>
        <v/>
      </c>
      <c r="AS20" s="7" t="n"/>
      <c r="AZ20" s="20">
        <f t="array" ref="AZ20">StatusCarga(G20,H20,J20,K20)</f>
        <v/>
      </c>
      <c r="BA20" s="20">
        <f>IF(AZ20="CONFORME","CONFORME ✓","NÃO CONFORME ✗")</f>
        <v/>
      </c>
      <c r="BB20" t="n">
        <v>0</v>
      </c>
      <c r="BC20" t="n">
        <v>90</v>
      </c>
      <c r="BD20" t="n">
        <v>0</v>
      </c>
      <c r="BE20" t="n">
        <v>0</v>
      </c>
      <c r="BF20" t="inlineStr">
        <is>
          <t>CONFORME</t>
        </is>
      </c>
    </row>
    <row r="21" ht="21.75" customFormat="1" customHeight="1" s="20" thickBot="1">
      <c r="A21" s="151" t="inlineStr">
        <is>
          <t>itabira</t>
        </is>
      </c>
      <c r="B21" s="77" t="inlineStr">
        <is>
          <t>CONCEIÇÃO</t>
        </is>
      </c>
      <c r="C21" s="79" t="inlineStr">
        <is>
          <t>PM4162</t>
        </is>
      </c>
      <c r="D21" s="77" t="inlineStr">
        <is>
          <t>AFEX</t>
        </is>
      </c>
      <c r="E21" s="78" t="inlineStr">
        <is>
          <t>CATERPILLAR</t>
        </is>
      </c>
      <c r="F21" s="78" t="inlineStr">
        <is>
          <t>CAT 988H</t>
        </is>
      </c>
      <c r="G21" s="81">
        <f>IFERROR(IF(F21=$AB$2,"",VLOOKUP(F21,'DATASHEET EQUIPAMENTOS'!D:N,2,FALSE)),"")</f>
        <v/>
      </c>
      <c r="H21" s="82" t="inlineStr">
        <is>
          <t>2x30lbs</t>
        </is>
      </c>
      <c r="I21" s="57">
        <f>_xlfn.XLOOKUP(Tabela2[[#This Row],[Modelo]],'DATASHEET EQUIPAMENTOS'!D:D,'DATASHEET EQUIPAMENTOS'!P:P,"",0,1)</f>
        <v/>
      </c>
      <c r="J21" s="81">
        <f>IF(F21=$Z$2,"",VLOOKUP(F21,'DATASHEET EQUIPAMENTOS'!D:N,3,FALSE))</f>
        <v/>
      </c>
      <c r="K21" s="84" t="n">
        <v>0</v>
      </c>
      <c r="L21" s="95">
        <f>IF(AZ21="CONFORME","CONFORME ✓","NÃO CONFORME ✗")</f>
        <v/>
      </c>
      <c r="M21" s="102">
        <f>IF(F21=$Z$2,"",VLOOKUP(F21,'DATASHEET EQUIPAMENTOS'!D:N,4,FALSE))</f>
        <v/>
      </c>
      <c r="N21" s="103" t="n">
        <v>4</v>
      </c>
      <c r="O21" s="102">
        <f>IF(F21=$Z$2,"",VLOOKUP(F21,'DATASHEET EQUIPAMENTOS'!D:N,5,FALSE))</f>
        <v/>
      </c>
      <c r="P21" s="103" t="n">
        <v>2</v>
      </c>
      <c r="Q21" s="102">
        <f>IF(F21=$Z$2,"",VLOOKUP(F21,'DATASHEET EQUIPAMENTOS'!D:N,6,FALSE))</f>
        <v/>
      </c>
      <c r="R21" s="104" t="n">
        <v>0</v>
      </c>
      <c r="S21" s="95">
        <f>IF(Tabela2[[#This Row],[Instalado Sensor Motor]]="Linear","CONFORME ✓",IF(SUM(M21,O21,Q21)&lt;SUM(N21,P21,R21),"CONFORME ✓",IF(SUM(M21,O21,Q21)=SUM(N21,P21,R21),"CONFORME ✓","NÃO CONFORME ✗")))</f>
        <v/>
      </c>
      <c r="T21" s="91">
        <f>IF(F21=$Z$2,"",VLOOKUP(F21,'DATASHEET EQUIPAMENTOS'!D:N,7,FALSE))</f>
        <v/>
      </c>
      <c r="U21" s="57" t="n">
        <v>6</v>
      </c>
      <c r="V21" s="56">
        <f>IF(F21=$Z$2,"",VLOOKUP(F21,'DATASHEET EQUIPAMENTOS'!D:N,8,FALSE))</f>
        <v/>
      </c>
      <c r="W21" s="57" t="n">
        <v>6</v>
      </c>
      <c r="X21" s="56">
        <f>IF(F21=$Z$2,"",VLOOKUP(F21,'DATASHEET EQUIPAMENTOS'!D:N,9,FALSE))</f>
        <v/>
      </c>
      <c r="Y21" s="57" t="n">
        <v>0</v>
      </c>
      <c r="Z21" s="57">
        <f>IF(SUM(T21,V21,X21)&lt;=SUM(U21,W21,Y21),"CONFORME ✓",IF(SUM(T21,V21,X21)&gt;SUM(U21,W21,Y21),"NÃO CONFORME ✗"))</f>
        <v/>
      </c>
      <c r="AA21" s="56">
        <f>IF(F21=$Z$2,"",VLOOKUP(F21,'DATASHEET EQUIPAMENTOS'!D:N,10,FALSE))</f>
        <v/>
      </c>
      <c r="AB21" s="57" t="n">
        <v>0</v>
      </c>
      <c r="AC21" s="56">
        <f>IF(F21=$Z$2,"",VLOOKUP(F21,'DATASHEET EQUIPAMENTOS'!D:N,11,FALSE))</f>
        <v/>
      </c>
      <c r="AD21" s="57" t="n">
        <v>0</v>
      </c>
      <c r="AE21" s="56">
        <f>IF(F21=$Z$2,"",VLOOKUP(F21,'DATASHEET EQUIPAMENTOS'!D:O,12,FALSE))</f>
        <v/>
      </c>
      <c r="AF21" s="57" t="n">
        <v>0</v>
      </c>
      <c r="AG21" s="57">
        <f>IF(SUM(AA21,AC21,AE21)&lt;=SUM(AB21,AD21,AF21),"CONFORME ✓",IF(SUM(AA21,AC21,AE21)&gt;SUM(AB21,AD21,AF21),"NÃO CONFORME ✗"))</f>
        <v/>
      </c>
      <c r="AH21" s="72" t="n">
        <v>2.5</v>
      </c>
      <c r="AI21" s="72" t="n">
        <v>4</v>
      </c>
      <c r="AJ21" s="72" t="n">
        <v>2.5</v>
      </c>
      <c r="AK21" s="57" t="inlineStr">
        <is>
          <t>REPOSICIONAR CABOS DOS SENSORES; REPOSICIONAR ACIONADOR INTERNO</t>
        </is>
      </c>
      <c r="AL21" s="58">
        <f>IFERROR(CALCULOS!H16,"NECESSÁRIO REVISAR DATASHEET")</f>
        <v/>
      </c>
      <c r="AM2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" s="64">
        <f>SUM(Tabela2[[#This Row],[Nota de Prioridade Quantitativa(NOTAS: 1 PIOR NOTA; 5 MELHOR NOTA)]],Tabela2[[#This Row],[Nota de Prioridade Qualitativa(NOTAS: 1 PIOR NOTA;  5 MELHOR NOTA)]])</f>
        <v/>
      </c>
      <c r="AO21" s="57" t="n">
        <v>149766</v>
      </c>
      <c r="AP21" s="64">
        <f>SUM(Tabela2[[#This Row],[Nota de Prioridade Quantitativa(NOTAS: 1 PIOR NOTA; 5 MELHOR NOTA)]],Tabela2[[#This Row],[Nota de Prioridade Qualitativa(NOTAS: 1 PIOR NOTA;  5 MELHOR NOTA)]])</f>
        <v/>
      </c>
      <c r="AQ21" s="7" t="n"/>
      <c r="AR21" s="64">
        <f>SUM(Tabela2[[#This Row],[Nota de Prioridade Quantitativa(NOTAS: 1 PIOR NOTA; 5 MELHOR NOTA)]],Tabela2[[#This Row],[Nota de Prioridade Qualitativa(NOTAS: 1 PIOR NOTA;  5 MELHOR NOTA)]])</f>
        <v/>
      </c>
      <c r="AS21" s="7" t="n"/>
      <c r="AZ21" s="20">
        <f t="array" ref="AZ21">StatusCarga(G21,H21,J21,K21)</f>
        <v/>
      </c>
      <c r="BA21" s="20">
        <f>IF(AZ21="CONFORME","CONFORME ✓","NÃO CONFORME ✗")</f>
        <v/>
      </c>
      <c r="BB21" t="n">
        <v>0</v>
      </c>
      <c r="BC21" t="n">
        <v>60</v>
      </c>
      <c r="BD21" t="n">
        <v>0</v>
      </c>
      <c r="BE21" t="n">
        <v>0</v>
      </c>
      <c r="BF21" t="inlineStr">
        <is>
          <t>CONFORME</t>
        </is>
      </c>
    </row>
    <row r="22" ht="21.75" customFormat="1" customHeight="1" s="20" thickBot="1">
      <c r="A22" s="151" t="inlineStr">
        <is>
          <t>itabira</t>
        </is>
      </c>
      <c r="B22" s="77" t="inlineStr">
        <is>
          <t>CONCEIÇÃO</t>
        </is>
      </c>
      <c r="C22" s="78" t="inlineStr">
        <is>
          <t>TE4163</t>
        </is>
      </c>
      <c r="D22" s="77" t="inlineStr">
        <is>
          <t>AFEX</t>
        </is>
      </c>
      <c r="E22" s="78" t="inlineStr">
        <is>
          <t>CATERPILLAR</t>
        </is>
      </c>
      <c r="F22" s="78" t="inlineStr">
        <is>
          <t xml:space="preserve">CAT D10T2 </t>
        </is>
      </c>
      <c r="G22" s="81">
        <f>IFERROR(IF(F22=$AB$2,"",VLOOKUP(F22,'DATASHEET EQUIPAMENTOS'!D:N,2,FALSE)),"")</f>
        <v/>
      </c>
      <c r="H22" s="82" t="inlineStr">
        <is>
          <t>1x60lbs</t>
        </is>
      </c>
      <c r="I22" s="57">
        <f>_xlfn.XLOOKUP(Tabela2[[#This Row],[Modelo]],'DATASHEET EQUIPAMENTOS'!D:D,'DATASHEET EQUIPAMENTOS'!P:P,"",0,1)</f>
        <v/>
      </c>
      <c r="J22" s="81">
        <f>IF(F22=$Z$2,"",VLOOKUP(F22,'DATASHEET EQUIPAMENTOS'!D:N,3,FALSE))</f>
        <v/>
      </c>
      <c r="K22" s="84" t="inlineStr">
        <is>
          <t>1x5gal</t>
        </is>
      </c>
      <c r="L22" s="95">
        <f>IF(AZ22="CONFORME","CONFORME ✓","NÃO CONFORME ✗")</f>
        <v/>
      </c>
      <c r="M22" s="102">
        <f>IF(F22=$Z$2,"",VLOOKUP(F22,'DATASHEET EQUIPAMENTOS'!D:N,4,FALSE))</f>
        <v/>
      </c>
      <c r="N22" s="103" t="n">
        <v>6</v>
      </c>
      <c r="O22" s="102">
        <f>IF(F22=$Z$2,"",VLOOKUP(F22,'DATASHEET EQUIPAMENTOS'!D:N,5,FALSE))</f>
        <v/>
      </c>
      <c r="P22" s="103" t="n">
        <v>2</v>
      </c>
      <c r="Q22" s="102">
        <f>IF(F22=$Z$2,"",VLOOKUP(F22,'DATASHEET EQUIPAMENTOS'!D:N,6,FALSE))</f>
        <v/>
      </c>
      <c r="R22" s="104" t="n">
        <v>2</v>
      </c>
      <c r="S22" s="95">
        <f>IF(Tabela2[[#This Row],[Instalado Sensor Motor]]="Linear","CONFORME ✓",IF(SUM(M22,O22,Q22)&lt;SUM(N22,P22,R22),"CONFORME ✓",IF(SUM(M22,O22,Q22)=SUM(N22,P22,R22),"CONFORME ✓","NÃO CONFORME ✗")))</f>
        <v/>
      </c>
      <c r="T22" s="91">
        <f>IF(F22=$Z$2,"",VLOOKUP(F22,'DATASHEET EQUIPAMENTOS'!D:N,7,FALSE))</f>
        <v/>
      </c>
      <c r="U22" s="57" t="n">
        <v>10</v>
      </c>
      <c r="V22" s="56">
        <f>IF(F22=$Z$2,"",VLOOKUP(F22,'DATASHEET EQUIPAMENTOS'!D:N,8,FALSE))</f>
        <v/>
      </c>
      <c r="W22" s="57" t="n">
        <v>3</v>
      </c>
      <c r="X22" s="56">
        <f>IF(F22=$Z$2,"",VLOOKUP(F22,'DATASHEET EQUIPAMENTOS'!D:N,9,FALSE))</f>
        <v/>
      </c>
      <c r="Y22" s="57" t="n">
        <v>6</v>
      </c>
      <c r="Z22" s="57">
        <f>IF(SUM(T22,V22,X22)&lt;=SUM(U22,W22,Y22),"CONFORME ✓",IF(SUM(T22,V22,X22)&gt;SUM(U22,W22,Y22),"NÃO CONFORME ✗"))</f>
        <v/>
      </c>
      <c r="AA22" s="56">
        <f>IF(F22=$Z$2,"",VLOOKUP(F22,'DATASHEET EQUIPAMENTOS'!D:N,10,FALSE))</f>
        <v/>
      </c>
      <c r="AB22" s="57" t="n">
        <v>4</v>
      </c>
      <c r="AC22" s="56">
        <f>IF(F22=$Z$2,"",VLOOKUP(F22,'DATASHEET EQUIPAMENTOS'!D:N,11,FALSE))</f>
        <v/>
      </c>
      <c r="AD22" s="57" t="n">
        <v>0</v>
      </c>
      <c r="AE22" s="56">
        <f>IF(F22=$Z$2,"",VLOOKUP(F22,'DATASHEET EQUIPAMENTOS'!D:O,12,FALSE))</f>
        <v/>
      </c>
      <c r="AF22" s="57" t="n">
        <v>4</v>
      </c>
      <c r="AG22" s="57">
        <f>IF(SUM(AA22,AC22,AE22)&lt;=SUM(AB22,AD22,AF22),"CONFORME ✓",IF(SUM(AA22,AC22,AE22)&gt;SUM(AB22,AD22,AF22),"NÃO CONFORME ✗"))</f>
        <v/>
      </c>
      <c r="AH22" s="72" t="n">
        <v>2.5</v>
      </c>
      <c r="AI22" s="72" t="n">
        <v>4</v>
      </c>
      <c r="AJ22" s="72" t="n">
        <v>4</v>
      </c>
      <c r="AK22" s="57" t="inlineStr">
        <is>
          <t>REPOSICIONAR CABOS DOS SENSORES; ADICIONAR TAMPAS NOS BICOS</t>
        </is>
      </c>
      <c r="AL22" s="58">
        <f>IFERROR(CALCULOS!H17,"NECESSÁRIO REVISAR DATASHEET")</f>
        <v/>
      </c>
      <c r="AM2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" s="64">
        <f>SUM(Tabela2[[#This Row],[Nota de Prioridade Quantitativa(NOTAS: 1 PIOR NOTA; 5 MELHOR NOTA)]],Tabela2[[#This Row],[Nota de Prioridade Qualitativa(NOTAS: 1 PIOR NOTA;  5 MELHOR NOTA)]])</f>
        <v/>
      </c>
      <c r="AO22" s="57" t="n">
        <v>149884</v>
      </c>
      <c r="AP22" s="64">
        <f>SUM(Tabela2[[#This Row],[Nota de Prioridade Quantitativa(NOTAS: 1 PIOR NOTA; 5 MELHOR NOTA)]],Tabela2[[#This Row],[Nota de Prioridade Qualitativa(NOTAS: 1 PIOR NOTA;  5 MELHOR NOTA)]])</f>
        <v/>
      </c>
      <c r="AQ22" s="7" t="n"/>
      <c r="AR22" s="64">
        <f>SUM(Tabela2[[#This Row],[Nota de Prioridade Quantitativa(NOTAS: 1 PIOR NOTA; 5 MELHOR NOTA)]],Tabela2[[#This Row],[Nota de Prioridade Qualitativa(NOTAS: 1 PIOR NOTA;  5 MELHOR NOTA)]])</f>
        <v/>
      </c>
      <c r="AS22" s="7" t="n"/>
      <c r="AZ22" s="20">
        <f t="array" ref="AZ22">StatusCarga(G22,H22,J22,K22)</f>
        <v/>
      </c>
      <c r="BA22" s="20">
        <f>IF(AZ22="CONFORME","CONFORME ✓","NÃO CONFORME ✗")</f>
        <v/>
      </c>
      <c r="BB22" t="n">
        <v>0</v>
      </c>
      <c r="BC22" t="n">
        <v>60</v>
      </c>
      <c r="BD22" t="n">
        <v>0</v>
      </c>
      <c r="BE22" t="n">
        <v>5</v>
      </c>
      <c r="BF22" t="inlineStr">
        <is>
          <t>CONFORME</t>
        </is>
      </c>
    </row>
    <row r="23" ht="21.75" customFormat="1" customHeight="1" s="20" thickBot="1">
      <c r="A23" s="151" t="inlineStr">
        <is>
          <t>itabira</t>
        </is>
      </c>
      <c r="B23" s="77" t="inlineStr">
        <is>
          <t>CAUÊ</t>
        </is>
      </c>
      <c r="C23" s="79" t="inlineStr">
        <is>
          <t>CA65924</t>
        </is>
      </c>
      <c r="D23" s="77" t="inlineStr">
        <is>
          <t>AFEX</t>
        </is>
      </c>
      <c r="E23" s="78" t="inlineStr">
        <is>
          <t>CATERPILLAR</t>
        </is>
      </c>
      <c r="F23" s="78" t="inlineStr">
        <is>
          <t>CAT 793D</t>
        </is>
      </c>
      <c r="G23" s="81">
        <f>IFERROR(IF(F23=$AB$2,"",VLOOKUP(F23,'DATASHEET EQUIPAMENTOS'!D:N,2,FALSE)),"")</f>
        <v/>
      </c>
      <c r="H23" s="82" t="inlineStr">
        <is>
          <t>4x30lbs</t>
        </is>
      </c>
      <c r="I23" s="57">
        <f>_xlfn.XLOOKUP(Tabela2[[#This Row],[Modelo]],'DATASHEET EQUIPAMENTOS'!D:D,'DATASHEET EQUIPAMENTOS'!P:P,"",0,1)</f>
        <v/>
      </c>
      <c r="J23" s="81">
        <f>IF(F23=$Z$2,"",VLOOKUP(F23,'DATASHEET EQUIPAMENTOS'!D:N,3,FALSE))</f>
        <v/>
      </c>
      <c r="K23" s="84" t="n">
        <v>0</v>
      </c>
      <c r="L23" s="95">
        <f>IF(AZ23="CONFORME","CONFORME ✓","NÃO CONFORME ✗")</f>
        <v/>
      </c>
      <c r="M23" s="102">
        <f>IF(F23=$Z$2,"",VLOOKUP(F23,'DATASHEET EQUIPAMENTOS'!D:N,4,FALSE))</f>
        <v/>
      </c>
      <c r="N23" s="103" t="n">
        <v>6</v>
      </c>
      <c r="O23" s="102">
        <f>IF(F23=$Z$2,"",VLOOKUP(F23,'DATASHEET EQUIPAMENTOS'!D:N,5,FALSE))</f>
        <v/>
      </c>
      <c r="P23" s="103" t="n">
        <v>2</v>
      </c>
      <c r="Q23" s="102">
        <f>IF(F23=$Z$2,"",VLOOKUP(F23,'DATASHEET EQUIPAMENTOS'!D:N,6,FALSE))</f>
        <v/>
      </c>
      <c r="R23" s="104" t="n">
        <v>0</v>
      </c>
      <c r="S23" s="95">
        <f>IF(Tabela2[[#This Row],[Instalado Sensor Motor]]="Linear","CONFORME ✓",IF(SUM(M23,O23,Q23)&lt;SUM(N23,P23,R23),"CONFORME ✓",IF(SUM(M23,O23,Q23)=SUM(N23,P23,R23),"CONFORME ✓","NÃO CONFORME ✗")))</f>
        <v/>
      </c>
      <c r="T23" s="91">
        <f>IF(F23=$Z$2,"",VLOOKUP(F23,'DATASHEET EQUIPAMENTOS'!D:N,7,FALSE))</f>
        <v/>
      </c>
      <c r="U23" s="57" t="n">
        <v>18</v>
      </c>
      <c r="V23" s="56">
        <f>IF(F23=$Z$2,"",VLOOKUP(F23,'DATASHEET EQUIPAMENTOS'!D:N,8,FALSE))</f>
        <v/>
      </c>
      <c r="W23" s="57" t="n">
        <v>6</v>
      </c>
      <c r="X23" s="56">
        <f>IF(F23=$Z$2,"",VLOOKUP(F23,'DATASHEET EQUIPAMENTOS'!D:N,9,FALSE))</f>
        <v/>
      </c>
      <c r="Y23" s="57" t="n">
        <v>0</v>
      </c>
      <c r="Z23" s="57">
        <f>IF(SUM(T23,V23,X23)&lt;=SUM(U23,W23,Y23),"CONFORME ✓",IF(SUM(T23,V23,X23)&gt;SUM(U23,W23,Y23),"NÃO CONFORME ✗"))</f>
        <v/>
      </c>
      <c r="AA23" s="56">
        <f>IF(F23=$Z$2,"",VLOOKUP(F23,'DATASHEET EQUIPAMENTOS'!D:N,10,FALSE))</f>
        <v/>
      </c>
      <c r="AB23" s="57" t="n">
        <v>0</v>
      </c>
      <c r="AC23" s="56">
        <f>IF(F23=$Z$2,"",VLOOKUP(F23,'DATASHEET EQUIPAMENTOS'!D:N,11,FALSE))</f>
        <v/>
      </c>
      <c r="AD23" s="57" t="n">
        <v>0</v>
      </c>
      <c r="AE23" s="56">
        <f>IF(F23=$Z$2,"",VLOOKUP(F23,'DATASHEET EQUIPAMENTOS'!D:O,12,FALSE))</f>
        <v/>
      </c>
      <c r="AF23" s="57" t="n">
        <v>0</v>
      </c>
      <c r="AG23" s="57">
        <f>IF(SUM(AA23,AC23,AE23)&lt;=SUM(AB23,AD23,AF23),"CONFORME ✓",IF(SUM(AA23,AC23,AE23)&gt;SUM(AB23,AD23,AF23),"NÃO CONFORME ✗"))</f>
        <v/>
      </c>
      <c r="AH23" s="72" t="n">
        <v>4</v>
      </c>
      <c r="AI23" s="72" t="n">
        <v>4</v>
      </c>
      <c r="AJ23" s="72" t="n">
        <v>4</v>
      </c>
      <c r="AK23" s="57" t="n"/>
      <c r="AL23" s="58">
        <f>IFERROR(CALCULOS!H18,"NECESSÁRIO REVISAR DATASHEET")</f>
        <v/>
      </c>
      <c r="AM2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" s="64">
        <f>SUM(Tabela2[[#This Row],[Nota de Prioridade Quantitativa(NOTAS: 1 PIOR NOTA; 5 MELHOR NOTA)]],Tabela2[[#This Row],[Nota de Prioridade Qualitativa(NOTAS: 1 PIOR NOTA;  5 MELHOR NOTA)]])</f>
        <v/>
      </c>
      <c r="AO23" s="57" t="n">
        <v>149888</v>
      </c>
      <c r="AP23" s="64">
        <f>SUM(Tabela2[[#This Row],[Nota de Prioridade Quantitativa(NOTAS: 1 PIOR NOTA; 5 MELHOR NOTA)]],Tabela2[[#This Row],[Nota de Prioridade Qualitativa(NOTAS: 1 PIOR NOTA;  5 MELHOR NOTA)]])</f>
        <v/>
      </c>
      <c r="AQ23" s="7" t="n"/>
      <c r="AR23" s="64">
        <f>SUM(Tabela2[[#This Row],[Nota de Prioridade Quantitativa(NOTAS: 1 PIOR NOTA; 5 MELHOR NOTA)]],Tabela2[[#This Row],[Nota de Prioridade Qualitativa(NOTAS: 1 PIOR NOTA;  5 MELHOR NOTA)]])</f>
        <v/>
      </c>
      <c r="AS23" s="7" t="n"/>
      <c r="AZ23" s="20">
        <f t="array" ref="AZ23">StatusCarga(G23,H23,J23,K23)</f>
        <v/>
      </c>
      <c r="BA23" s="20">
        <f>IF(AZ23="CONFORME","CONFORME ✓","NÃO CONFORME ✗")</f>
        <v/>
      </c>
      <c r="BB23" t="n">
        <v>0</v>
      </c>
      <c r="BC23" t="n">
        <v>120</v>
      </c>
      <c r="BD23" t="n">
        <v>0</v>
      </c>
      <c r="BE23" t="n">
        <v>0</v>
      </c>
      <c r="BF23" t="inlineStr">
        <is>
          <t>CONFORME</t>
        </is>
      </c>
    </row>
    <row r="24" ht="21.75" customFormat="1" customHeight="1" s="20" thickBot="1">
      <c r="A24" s="151" t="inlineStr">
        <is>
          <t>itabira</t>
        </is>
      </c>
      <c r="B24" s="77" t="inlineStr">
        <is>
          <t>CAUÊ</t>
        </is>
      </c>
      <c r="C24" s="152" t="inlineStr">
        <is>
          <t>CE57822</t>
        </is>
      </c>
      <c r="D24" s="77" t="inlineStr">
        <is>
          <t>AFEX</t>
        </is>
      </c>
      <c r="E24" s="78" t="inlineStr">
        <is>
          <t>KOMATSU</t>
        </is>
      </c>
      <c r="F24" s="78" t="inlineStr">
        <is>
          <t>Komatsu 830E</t>
        </is>
      </c>
      <c r="G24" s="81">
        <f>IFERROR(IF(F24=$AB$2,"",VLOOKUP(F24,'DATASHEET EQUIPAMENTOS'!D:N,2,FALSE)),"")</f>
        <v/>
      </c>
      <c r="H24" s="82" t="inlineStr">
        <is>
          <t>2x60lbs</t>
        </is>
      </c>
      <c r="I24" s="57">
        <f>_xlfn.XLOOKUP(Tabela2[[#This Row],[Modelo]],'DATASHEET EQUIPAMENTOS'!D:D,'DATASHEET EQUIPAMENTOS'!P:P,"",0,1)</f>
        <v/>
      </c>
      <c r="J24" s="81">
        <f>IF(F24=$Z$2,"",VLOOKUP(F24,'DATASHEET EQUIPAMENTOS'!D:N,3,FALSE))</f>
        <v/>
      </c>
      <c r="K24" s="84" t="inlineStr">
        <is>
          <t>1x5gal</t>
        </is>
      </c>
      <c r="L24" s="95">
        <f>IF(AZ24="CONFORME","CONFORME ✓","NÃO CONFORME ✗")</f>
        <v/>
      </c>
      <c r="M24" s="102">
        <f>IF(F24=$Z$2,"",VLOOKUP(F24,'DATASHEET EQUIPAMENTOS'!D:N,4,FALSE))</f>
        <v/>
      </c>
      <c r="N24" s="103" t="n">
        <v>6</v>
      </c>
      <c r="O24" s="102">
        <f>IF(F24=$Z$2,"",VLOOKUP(F24,'DATASHEET EQUIPAMENTOS'!D:N,5,FALSE))</f>
        <v/>
      </c>
      <c r="P24" s="103" t="n">
        <v>2</v>
      </c>
      <c r="Q24" s="102">
        <f>IF(F24=$Z$2,"",VLOOKUP(F24,'DATASHEET EQUIPAMENTOS'!D:N,6,FALSE))</f>
        <v/>
      </c>
      <c r="R24" s="104" t="n">
        <v>0</v>
      </c>
      <c r="S24" s="95">
        <f>IF(Tabela2[[#This Row],[Instalado Sensor Motor]]="Linear","CONFORME ✓",IF(SUM(M24,O24,Q24)&lt;SUM(N24,P24,R24),"CONFORME ✓",IF(SUM(M24,O24,Q24)=SUM(N24,P24,R24),"CONFORME ✓","NÃO CONFORME ✗")))</f>
        <v/>
      </c>
      <c r="T24" s="91">
        <f>IF(F24=$Z$2,"",VLOOKUP(F24,'DATASHEET EQUIPAMENTOS'!D:N,7,FALSE))</f>
        <v/>
      </c>
      <c r="U24" s="57" t="n">
        <v>18</v>
      </c>
      <c r="V24" s="56">
        <f>IF(F24=$Z$2,"",VLOOKUP(F24,'DATASHEET EQUIPAMENTOS'!D:N,8,FALSE))</f>
        <v/>
      </c>
      <c r="W24" s="57" t="n">
        <v>6</v>
      </c>
      <c r="X24" s="56">
        <f>IF(F24=$Z$2,"",VLOOKUP(F24,'DATASHEET EQUIPAMENTOS'!D:N,9,FALSE))</f>
        <v/>
      </c>
      <c r="Y24" s="57" t="n">
        <v>0</v>
      </c>
      <c r="Z24" s="57">
        <f>IF(SUM(T24,V24,X24)&lt;=SUM(U24,W24,Y24),"CONFORME ✓",IF(SUM(T24,V24,X24)&gt;SUM(U24,W24,Y24),"NÃO CONFORME ✗"))</f>
        <v/>
      </c>
      <c r="AA24" s="56">
        <f>IF(F24=$Z$2,"",VLOOKUP(F24,'DATASHEET EQUIPAMENTOS'!D:N,10,FALSE))</f>
        <v/>
      </c>
      <c r="AB24" s="57" t="n">
        <v>4</v>
      </c>
      <c r="AC24" s="56">
        <f>IF(F24=$Z$2,"",VLOOKUP(F24,'DATASHEET EQUIPAMENTOS'!D:N,11,FALSE))</f>
        <v/>
      </c>
      <c r="AD24" s="57" t="n">
        <v>0</v>
      </c>
      <c r="AE24" s="56">
        <f>IF(F24=$Z$2,"",VLOOKUP(F24,'DATASHEET EQUIPAMENTOS'!D:O,12,FALSE))</f>
        <v/>
      </c>
      <c r="AF24" s="57" t="n">
        <v>2</v>
      </c>
      <c r="AG24" s="57">
        <f>IF(SUM(AA24,AC24,AE24)&lt;=SUM(AB24,AD24,AF24),"CONFORME ✓",IF(SUM(AA24,AC24,AE24)&gt;SUM(AB24,AD24,AF24),"NÃO CONFORME ✗"))</f>
        <v/>
      </c>
      <c r="AH24" s="72" t="n">
        <v>4</v>
      </c>
      <c r="AI24" s="72" t="n">
        <v>4</v>
      </c>
      <c r="AJ24" s="72" t="n">
        <v>4</v>
      </c>
      <c r="AK24" s="57" t="inlineStr">
        <is>
          <t>Reposicionar atuador na cabine</t>
        </is>
      </c>
      <c r="AL24" s="58">
        <f>IFERROR(CALCULOS!H19,"NECESSÁRIO REVISAR DATASHEET")</f>
        <v/>
      </c>
      <c r="AM2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4" s="64">
        <f>SUM(Tabela2[[#This Row],[Nota de Prioridade Quantitativa(NOTAS: 1 PIOR NOTA; 5 MELHOR NOTA)]],Tabela2[[#This Row],[Nota de Prioridade Qualitativa(NOTAS: 1 PIOR NOTA;  5 MELHOR NOTA)]])</f>
        <v/>
      </c>
      <c r="AO24" s="57" t="n">
        <v>149908</v>
      </c>
      <c r="AP24" s="64">
        <f>SUM(Tabela2[[#This Row],[Nota de Prioridade Quantitativa(NOTAS: 1 PIOR NOTA; 5 MELHOR NOTA)]],Tabela2[[#This Row],[Nota de Prioridade Qualitativa(NOTAS: 1 PIOR NOTA;  5 MELHOR NOTA)]])</f>
        <v/>
      </c>
      <c r="AQ24" s="7" t="n"/>
      <c r="AR24" s="64">
        <f>SUM(Tabela2[[#This Row],[Nota de Prioridade Quantitativa(NOTAS: 1 PIOR NOTA; 5 MELHOR NOTA)]],Tabela2[[#This Row],[Nota de Prioridade Qualitativa(NOTAS: 1 PIOR NOTA;  5 MELHOR NOTA)]])</f>
        <v/>
      </c>
      <c r="AS24" s="7" t="n"/>
      <c r="AZ24" s="20">
        <f t="array" ref="AZ24">StatusCarga(G24,H24,J24,K24)</f>
        <v/>
      </c>
      <c r="BA24" s="20">
        <f>IF(AZ24="CONFORME","CONFORME ✓","NÃO CONFORME ✗")</f>
        <v/>
      </c>
      <c r="BB24" t="n">
        <v>0</v>
      </c>
      <c r="BC24" t="n">
        <v>120</v>
      </c>
      <c r="BD24" t="n">
        <v>0</v>
      </c>
      <c r="BE24" t="n">
        <v>5</v>
      </c>
      <c r="BF24" t="inlineStr">
        <is>
          <t>CONFORME</t>
        </is>
      </c>
    </row>
    <row r="25" ht="21.75" customFormat="1" customHeight="1" s="20" thickBot="1">
      <c r="A25" s="151" t="inlineStr">
        <is>
          <t>itabira</t>
        </is>
      </c>
      <c r="B25" s="77" t="inlineStr">
        <is>
          <t>CONCEIÇÃO</t>
        </is>
      </c>
      <c r="C25" s="78" t="inlineStr">
        <is>
          <t>PM4163</t>
        </is>
      </c>
      <c r="D25" s="77" t="inlineStr">
        <is>
          <t>AFEX</t>
        </is>
      </c>
      <c r="E25" s="78" t="inlineStr">
        <is>
          <t>CATERPILLAR</t>
        </is>
      </c>
      <c r="F25" s="78" t="inlineStr">
        <is>
          <t>CAT 988H</t>
        </is>
      </c>
      <c r="G25" s="81">
        <f>IFERROR(IF(F25=$AB$2,"",VLOOKUP(F25,'DATASHEET EQUIPAMENTOS'!D:N,2,FALSE)),"")</f>
        <v/>
      </c>
      <c r="H25" s="82" t="inlineStr">
        <is>
          <t>2x30lbs</t>
        </is>
      </c>
      <c r="I25" s="57">
        <f>_xlfn.XLOOKUP(Tabela2[[#This Row],[Modelo]],'DATASHEET EQUIPAMENTOS'!D:D,'DATASHEET EQUIPAMENTOS'!P:P,"",0,1)</f>
        <v/>
      </c>
      <c r="J25" s="81">
        <f>IF(F25=$Z$2,"",VLOOKUP(F25,'DATASHEET EQUIPAMENTOS'!D:N,3,FALSE))</f>
        <v/>
      </c>
      <c r="K25" s="84" t="n">
        <v>0</v>
      </c>
      <c r="L25" s="95">
        <f>IF(AZ25="CONFORME","CONFORME ✓","NÃO CONFORME ✗")</f>
        <v/>
      </c>
      <c r="M25" s="102">
        <f>IF(F25=$Z$2,"",VLOOKUP(F25,'DATASHEET EQUIPAMENTOS'!D:N,4,FALSE))</f>
        <v/>
      </c>
      <c r="N25" s="103" t="n">
        <v>3</v>
      </c>
      <c r="O25" s="102">
        <f>IF(F25=$Z$2,"",VLOOKUP(F25,'DATASHEET EQUIPAMENTOS'!D:N,5,FALSE))</f>
        <v/>
      </c>
      <c r="P25" s="103" t="n">
        <v>6</v>
      </c>
      <c r="Q25" s="102">
        <f>IF(F25=$Z$2,"",VLOOKUP(F25,'DATASHEET EQUIPAMENTOS'!D:N,6,FALSE))</f>
        <v/>
      </c>
      <c r="R25" s="104" t="n">
        <v>2</v>
      </c>
      <c r="S25" s="95">
        <f>IF(Tabela2[[#This Row],[Instalado Sensor Motor]]="Linear","CONFORME ✓",IF(SUM(M25,O25,Q25)&lt;SUM(N25,P25,R25),"CONFORME ✓",IF(SUM(M25,O25,Q25)=SUM(N25,P25,R25),"CONFORME ✓","NÃO CONFORME ✗")))</f>
        <v/>
      </c>
      <c r="T25" s="91">
        <f>IF(F25=$Z$2,"",VLOOKUP(F25,'DATASHEET EQUIPAMENTOS'!D:N,7,FALSE))</f>
        <v/>
      </c>
      <c r="U25" s="57" t="n">
        <v>6</v>
      </c>
      <c r="V25" s="56">
        <f>IF(F25=$Z$2,"",VLOOKUP(F25,'DATASHEET EQUIPAMENTOS'!D:N,8,FALSE))</f>
        <v/>
      </c>
      <c r="W25" s="57" t="n">
        <v>6</v>
      </c>
      <c r="X25" s="56">
        <f>IF(F25=$Z$2,"",VLOOKUP(F25,'DATASHEET EQUIPAMENTOS'!D:N,9,FALSE))</f>
        <v/>
      </c>
      <c r="Y25" s="57" t="n">
        <v>6</v>
      </c>
      <c r="Z25" s="57">
        <f>IF(SUM(T25,V25,X25)&lt;=SUM(U25,W25,Y25),"CONFORME ✓",IF(SUM(T25,V25,X25)&gt;SUM(U25,W25,Y25),"NÃO CONFORME ✗"))</f>
        <v/>
      </c>
      <c r="AA25" s="56">
        <f>IF(F25=$Z$2,"",VLOOKUP(F25,'DATASHEET EQUIPAMENTOS'!D:N,10,FALSE))</f>
        <v/>
      </c>
      <c r="AB25" s="57" t="n">
        <v>0</v>
      </c>
      <c r="AC25" s="56">
        <f>IF(F25=$Z$2,"",VLOOKUP(F25,'DATASHEET EQUIPAMENTOS'!D:N,11,FALSE))</f>
        <v/>
      </c>
      <c r="AD25" s="57" t="n">
        <v>0</v>
      </c>
      <c r="AE25" s="56">
        <f>IF(F25=$Z$2,"",VLOOKUP(F25,'DATASHEET EQUIPAMENTOS'!D:O,12,FALSE))</f>
        <v/>
      </c>
      <c r="AF25" s="57" t="n">
        <v>0</v>
      </c>
      <c r="AG25" s="57">
        <f>IF(SUM(AA25,AC25,AE25)&lt;=SUM(AB25,AD25,AF25),"CONFORME ✓",IF(SUM(AA25,AC25,AE25)&gt;SUM(AB25,AD25,AF25),"NÃO CONFORME ✗"))</f>
        <v/>
      </c>
      <c r="AH25" s="72" t="n">
        <v>2.5</v>
      </c>
      <c r="AI25" s="72" t="n">
        <v>2.5</v>
      </c>
      <c r="AJ25" s="72" t="n">
        <v>4</v>
      </c>
      <c r="AK25" s="57" t="inlineStr">
        <is>
          <t>REPOSICIONAR CABOS DOS SENSORES; REPOSICIONAR BICOS;</t>
        </is>
      </c>
      <c r="AL25" s="58">
        <f>IFERROR(CALCULOS!H20,"NECESSÁRIO REVISAR DATASHEET")</f>
        <v/>
      </c>
      <c r="AM2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5" s="64">
        <f>SUM(Tabela2[[#This Row],[Nota de Prioridade Quantitativa(NOTAS: 1 PIOR NOTA; 5 MELHOR NOTA)]],Tabela2[[#This Row],[Nota de Prioridade Qualitativa(NOTAS: 1 PIOR NOTA;  5 MELHOR NOTA)]])</f>
        <v/>
      </c>
      <c r="AO25" s="57" t="n">
        <v>149941</v>
      </c>
      <c r="AP25" s="64">
        <f>SUM(Tabela2[[#This Row],[Nota de Prioridade Quantitativa(NOTAS: 1 PIOR NOTA; 5 MELHOR NOTA)]],Tabela2[[#This Row],[Nota de Prioridade Qualitativa(NOTAS: 1 PIOR NOTA;  5 MELHOR NOTA)]])</f>
        <v/>
      </c>
      <c r="AQ25" s="7" t="n"/>
      <c r="AR25" s="64">
        <f>SUM(Tabela2[[#This Row],[Nota de Prioridade Quantitativa(NOTAS: 1 PIOR NOTA; 5 MELHOR NOTA)]],Tabela2[[#This Row],[Nota de Prioridade Qualitativa(NOTAS: 1 PIOR NOTA;  5 MELHOR NOTA)]])</f>
        <v/>
      </c>
      <c r="AS25" s="7" t="n"/>
      <c r="AZ25" s="20">
        <f t="array" ref="AZ25">StatusCarga(G25,H25,J25,K25)</f>
        <v/>
      </c>
      <c r="BA25" s="20">
        <f>IF(AZ25="CONFORME","CONFORME ✓","NÃO CONFORME ✗")</f>
        <v/>
      </c>
      <c r="BB25" t="n">
        <v>0</v>
      </c>
      <c r="BC25" t="n">
        <v>60</v>
      </c>
      <c r="BD25" t="n">
        <v>0</v>
      </c>
      <c r="BE25" t="n">
        <v>0</v>
      </c>
      <c r="BF25" t="inlineStr">
        <is>
          <t>CONFORME</t>
        </is>
      </c>
    </row>
    <row r="26" ht="21.75" customFormat="1" customHeight="1" s="20" thickBot="1">
      <c r="A26" s="151" t="inlineStr">
        <is>
          <t>itabira</t>
        </is>
      </c>
      <c r="B26" s="77" t="inlineStr">
        <is>
          <t>CONCEIÇÃO</t>
        </is>
      </c>
      <c r="C26" s="79" t="inlineStr">
        <is>
          <t>PF1111</t>
        </is>
      </c>
      <c r="D26" s="77" t="inlineStr">
        <is>
          <t>AFEX</t>
        </is>
      </c>
      <c r="E26" s="78" t="inlineStr">
        <is>
          <t>CATERPILLAR</t>
        </is>
      </c>
      <c r="F26" s="78" t="inlineStr">
        <is>
          <t>CAT MD6420</t>
        </is>
      </c>
      <c r="G26" s="81">
        <f>IFERROR(IF(F26=$AB$2,"",VLOOKUP(F26,'DATASHEET EQUIPAMENTOS'!D:N,2,FALSE)),"")</f>
        <v/>
      </c>
      <c r="H26" s="82" t="inlineStr">
        <is>
          <t>3x30lbs</t>
        </is>
      </c>
      <c r="I26" s="57">
        <f>_xlfn.XLOOKUP(Tabela2[[#This Row],[Modelo]],'DATASHEET EQUIPAMENTOS'!D:D,'DATASHEET EQUIPAMENTOS'!P:P,"",0,1)</f>
        <v/>
      </c>
      <c r="J26" s="81">
        <f>IF(F26=$Z$2,"",VLOOKUP(F26,'DATASHEET EQUIPAMENTOS'!D:N,3,FALSE))</f>
        <v/>
      </c>
      <c r="K26" s="84" t="inlineStr">
        <is>
          <t>1x15gal</t>
        </is>
      </c>
      <c r="L26" s="95">
        <f>IF(AZ26="CONFORME","CONFORME ✓","NÃO CONFORME ✗")</f>
        <v/>
      </c>
      <c r="M26" s="102">
        <f>IF(F26=$Z$2,"",VLOOKUP(F26,'DATASHEET EQUIPAMENTOS'!D:N,4,FALSE))</f>
        <v/>
      </c>
      <c r="N26" s="103" t="n">
        <v>6</v>
      </c>
      <c r="O26" s="102">
        <f>IF(F26=$Z$2,"",VLOOKUP(F26,'DATASHEET EQUIPAMENTOS'!D:N,5,FALSE))</f>
        <v/>
      </c>
      <c r="P26" s="105" t="n">
        <v>0</v>
      </c>
      <c r="Q26" s="102">
        <f>IF(F26=$Z$2,"",VLOOKUP(F26,'DATASHEET EQUIPAMENTOS'!D:N,6,FALSE))</f>
        <v/>
      </c>
      <c r="R26" s="104" t="n">
        <v>3</v>
      </c>
      <c r="S26" s="95">
        <f>IF(Tabela2[[#This Row],[Instalado Sensor Motor]]="Linear","CONFORME ✓",IF(SUM(M26,O26,Q26)&lt;SUM(N26,P26,R26),"CONFORME ✓",IF(SUM(M26,O26,Q26)=SUM(N26,P26,R26),"CONFORME ✓","NÃO CONFORME ✗")))</f>
        <v/>
      </c>
      <c r="T26" s="91">
        <f>IF(F26=$Z$2,"",VLOOKUP(F26,'DATASHEET EQUIPAMENTOS'!D:N,7,FALSE))</f>
        <v/>
      </c>
      <c r="U26" s="57" t="n">
        <v>18</v>
      </c>
      <c r="V26" s="56">
        <f>IF(F26=$Z$2,"",VLOOKUP(F26,'DATASHEET EQUIPAMENTOS'!D:N,8,FALSE))</f>
        <v/>
      </c>
      <c r="W26" s="62" t="n">
        <v>0</v>
      </c>
      <c r="X26" s="56">
        <f>IF(F26=$Z$2,"",VLOOKUP(F26,'DATASHEET EQUIPAMENTOS'!D:N,9,FALSE))</f>
        <v/>
      </c>
      <c r="Y26" s="57" t="n">
        <v>6</v>
      </c>
      <c r="Z26" s="57">
        <f>IF(SUM(T26,V26,X26)&lt;=SUM(U26,W26,Y26),"CONFORME ✓",IF(SUM(T26,V26,X26)&gt;SUM(U26,W26,Y26),"NÃO CONFORME ✗"))</f>
        <v/>
      </c>
      <c r="AA26" s="56">
        <f>IF(F26=$Z$2,"",VLOOKUP(F26,'DATASHEET EQUIPAMENTOS'!D:N,10,FALSE))</f>
        <v/>
      </c>
      <c r="AB26" s="62" t="n">
        <v>4</v>
      </c>
      <c r="AC26" s="56">
        <f>IF(F26=$Z$2,"",VLOOKUP(F26,'DATASHEET EQUIPAMENTOS'!D:N,11,FALSE))</f>
        <v/>
      </c>
      <c r="AD26" s="62" t="n">
        <v>0</v>
      </c>
      <c r="AE26" s="56">
        <f>IF(F26=$Z$2,"",VLOOKUP(F26,'DATASHEET EQUIPAMENTOS'!D:O,12,FALSE))</f>
        <v/>
      </c>
      <c r="AF26" s="62" t="n">
        <v>3</v>
      </c>
      <c r="AG26" s="57">
        <f>IF(SUM(AA26,AC26,AE26)&lt;=SUM(AB26,AD26,AF26),"CONFORME ✓",IF(SUM(AA26,AC26,AE26)&gt;SUM(AB26,AD26,AF26),"NÃO CONFORME ✗"))</f>
        <v/>
      </c>
      <c r="AH26" s="72" t="n">
        <v>4</v>
      </c>
      <c r="AI26" s="72" t="n">
        <v>4</v>
      </c>
      <c r="AJ26" s="72" t="n">
        <v>4</v>
      </c>
      <c r="AK26" s="57" t="inlineStr">
        <is>
          <t>Falta 35lbs de PQS; Realizar pequenas adequações de layout em mangueiras e cabos de sensores</t>
        </is>
      </c>
      <c r="AL26" s="58">
        <f>IFERROR(CALCULOS!H21,"NECESSÁRIO REVISAR DATASHEET")</f>
        <v/>
      </c>
      <c r="AM2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6" s="64">
        <f>SUM(Tabela2[[#This Row],[Nota de Prioridade Quantitativa(NOTAS: 1 PIOR NOTA; 5 MELHOR NOTA)]],Tabela2[[#This Row],[Nota de Prioridade Qualitativa(NOTAS: 1 PIOR NOTA;  5 MELHOR NOTA)]])</f>
        <v/>
      </c>
      <c r="AO26" s="57" t="n">
        <v>149929</v>
      </c>
      <c r="AP26" s="64">
        <f>SUM(Tabela2[[#This Row],[Nota de Prioridade Quantitativa(NOTAS: 1 PIOR NOTA; 5 MELHOR NOTA)]],Tabela2[[#This Row],[Nota de Prioridade Qualitativa(NOTAS: 1 PIOR NOTA;  5 MELHOR NOTA)]])</f>
        <v/>
      </c>
      <c r="AQ26" s="7" t="inlineStr">
        <is>
          <t>verificar projeto e especificação kit fz</t>
        </is>
      </c>
      <c r="AR26" s="64">
        <f>SUM(Tabela2[[#This Row],[Nota de Prioridade Quantitativa(NOTAS: 1 PIOR NOTA; 5 MELHOR NOTA)]],Tabela2[[#This Row],[Nota de Prioridade Qualitativa(NOTAS: 1 PIOR NOTA;  5 MELHOR NOTA)]])</f>
        <v/>
      </c>
      <c r="AS26" s="7" t="n"/>
      <c r="AZ26" s="20">
        <f t="array" ref="AZ26">StatusCarga(G26,H26,J26,K26)</f>
        <v/>
      </c>
      <c r="BA26" s="20">
        <f>IF(AZ26="CONFORME","CONFORME ✓","NÃO CONFORME ✗")</f>
        <v/>
      </c>
      <c r="BB26" t="n">
        <v>0</v>
      </c>
      <c r="BC26" t="n">
        <v>90</v>
      </c>
      <c r="BD26" t="n">
        <v>0</v>
      </c>
      <c r="BE26" t="n">
        <v>15</v>
      </c>
      <c r="BF26" t="inlineStr">
        <is>
          <t>CONFORME</t>
        </is>
      </c>
    </row>
    <row r="27" ht="21.75" customFormat="1" customHeight="1" s="20" thickBot="1">
      <c r="A27" s="151" t="inlineStr">
        <is>
          <t>itabira</t>
        </is>
      </c>
      <c r="B27" s="77" t="inlineStr">
        <is>
          <t>CAUÊ</t>
        </is>
      </c>
      <c r="C27" s="152" t="inlineStr">
        <is>
          <t>CE57831</t>
        </is>
      </c>
      <c r="D27" s="77" t="inlineStr">
        <is>
          <t>AFEX</t>
        </is>
      </c>
      <c r="E27" s="78" t="inlineStr">
        <is>
          <t>KOMATSU</t>
        </is>
      </c>
      <c r="F27" s="78" t="inlineStr">
        <is>
          <t>Komatsu 830E</t>
        </is>
      </c>
      <c r="G27" s="81">
        <f>IFERROR(IF(F27=$AB$2,"",VLOOKUP(F27,'DATASHEET EQUIPAMENTOS'!D:N,2,FALSE)),"")</f>
        <v/>
      </c>
      <c r="H27" s="82" t="inlineStr">
        <is>
          <t>2x60lbs</t>
        </is>
      </c>
      <c r="I27" s="57">
        <f>_xlfn.XLOOKUP(Tabela2[[#This Row],[Modelo]],'DATASHEET EQUIPAMENTOS'!D:D,'DATASHEET EQUIPAMENTOS'!P:P,"",0,1)</f>
        <v/>
      </c>
      <c r="J27" s="81">
        <f>IF(F27=$Z$2,"",VLOOKUP(F27,'DATASHEET EQUIPAMENTOS'!D:N,3,FALSE))</f>
        <v/>
      </c>
      <c r="K27" s="84" t="inlineStr">
        <is>
          <t>2x5gal</t>
        </is>
      </c>
      <c r="L27" s="95">
        <f>IF(AZ27="CONFORME","CONFORME ✓","NÃO CONFORME ✗")</f>
        <v/>
      </c>
      <c r="M27" s="102">
        <f>IF(F27=$Z$2,"",VLOOKUP(F27,'DATASHEET EQUIPAMENTOS'!D:N,4,FALSE))</f>
        <v/>
      </c>
      <c r="N27" s="103" t="n">
        <v>6</v>
      </c>
      <c r="O27" s="102">
        <f>IF(F27=$Z$2,"",VLOOKUP(F27,'DATASHEET EQUIPAMENTOS'!D:N,5,FALSE))</f>
        <v/>
      </c>
      <c r="P27" s="103" t="n">
        <v>2</v>
      </c>
      <c r="Q27" s="102">
        <f>IF(F27=$Z$2,"",VLOOKUP(F27,'DATASHEET EQUIPAMENTOS'!D:N,6,FALSE))</f>
        <v/>
      </c>
      <c r="R27" s="104" t="n">
        <v>0</v>
      </c>
      <c r="S27" s="95">
        <f>IF(Tabela2[[#This Row],[Instalado Sensor Motor]]="Linear","CONFORME ✓",IF(SUM(M27,O27,Q27)&lt;SUM(N27,P27,R27),"CONFORME ✓",IF(SUM(M27,O27,Q27)=SUM(N27,P27,R27),"CONFORME ✓","NÃO CONFORME ✗")))</f>
        <v/>
      </c>
      <c r="T27" s="91">
        <f>IF(F27=$Z$2,"",VLOOKUP(F27,'DATASHEET EQUIPAMENTOS'!D:N,7,FALSE))</f>
        <v/>
      </c>
      <c r="U27" s="57" t="n">
        <v>18</v>
      </c>
      <c r="V27" s="56">
        <f>IF(F27=$Z$2,"",VLOOKUP(F27,'DATASHEET EQUIPAMENTOS'!D:N,8,FALSE))</f>
        <v/>
      </c>
      <c r="W27" s="57" t="n">
        <v>6</v>
      </c>
      <c r="X27" s="56">
        <f>IF(F27=$Z$2,"",VLOOKUP(F27,'DATASHEET EQUIPAMENTOS'!D:N,9,FALSE))</f>
        <v/>
      </c>
      <c r="Y27" s="57" t="n">
        <v>0</v>
      </c>
      <c r="Z27" s="57">
        <f>IF(SUM(T27,V27,X27)&lt;=SUM(U27,W27,Y27),"CONFORME ✓",IF(SUM(T27,V27,X27)&gt;SUM(U27,W27,Y27),"NÃO CONFORME ✗"))</f>
        <v/>
      </c>
      <c r="AA27" s="56">
        <f>IF(F27=$Z$2,"",VLOOKUP(F27,'DATASHEET EQUIPAMENTOS'!D:N,10,FALSE))</f>
        <v/>
      </c>
      <c r="AB27" s="57" t="n">
        <v>4</v>
      </c>
      <c r="AC27" s="56">
        <f>IF(F27=$Z$2,"",VLOOKUP(F27,'DATASHEET EQUIPAMENTOS'!D:N,11,FALSE))</f>
        <v/>
      </c>
      <c r="AD27" s="57" t="n">
        <v>0</v>
      </c>
      <c r="AE27" s="56">
        <f>IF(F27=$Z$2,"",VLOOKUP(F27,'DATASHEET EQUIPAMENTOS'!D:O,12,FALSE))</f>
        <v/>
      </c>
      <c r="AF27" s="57" t="n">
        <v>2</v>
      </c>
      <c r="AG27" s="57">
        <f>IF(SUM(AA27,AC27,AE27)&lt;=SUM(AB27,AD27,AF27),"CONFORME ✓",IF(SUM(AA27,AC27,AE27)&gt;SUM(AB27,AD27,AF27),"NÃO CONFORME ✗"))</f>
        <v/>
      </c>
      <c r="AH27" s="72" t="n">
        <v>3</v>
      </c>
      <c r="AI27" s="72" t="n">
        <v>4</v>
      </c>
      <c r="AJ27" s="72" t="n">
        <v>4</v>
      </c>
      <c r="AK27" s="57" t="inlineStr">
        <is>
          <t xml:space="preserve"> Repocisionar atuador e painel da cabine, refazer o sistema eletrico cabo dos sensores</t>
        </is>
      </c>
      <c r="AL27" s="58">
        <f>IFERROR(CALCULOS!H22,"NECESSÁRIO REVISAR DATASHEET")</f>
        <v/>
      </c>
      <c r="AM2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7" s="64">
        <f>SUM(Tabela2[[#This Row],[Nota de Prioridade Quantitativa(NOTAS: 1 PIOR NOTA; 5 MELHOR NOTA)]],Tabela2[[#This Row],[Nota de Prioridade Qualitativa(NOTAS: 1 PIOR NOTA;  5 MELHOR NOTA)]])</f>
        <v/>
      </c>
      <c r="AO27" s="57" t="n">
        <v>149942</v>
      </c>
      <c r="AP27" s="64">
        <f>SUM(Tabela2[[#This Row],[Nota de Prioridade Quantitativa(NOTAS: 1 PIOR NOTA; 5 MELHOR NOTA)]],Tabela2[[#This Row],[Nota de Prioridade Qualitativa(NOTAS: 1 PIOR NOTA;  5 MELHOR NOTA)]])</f>
        <v/>
      </c>
      <c r="AQ27" s="7" t="n"/>
      <c r="AR27" s="64">
        <f>SUM(Tabela2[[#This Row],[Nota de Prioridade Quantitativa(NOTAS: 1 PIOR NOTA; 5 MELHOR NOTA)]],Tabela2[[#This Row],[Nota de Prioridade Qualitativa(NOTAS: 1 PIOR NOTA;  5 MELHOR NOTA)]])</f>
        <v/>
      </c>
      <c r="AS27" s="7" t="n"/>
      <c r="AZ27" s="20">
        <f t="array" ref="AZ27">StatusCarga(G27,H27,J27,K27)</f>
        <v/>
      </c>
      <c r="BA27" s="20">
        <f>IF(AZ27="CONFORME","CONFORME ✓","NÃO CONFORME ✗")</f>
        <v/>
      </c>
      <c r="BB27" t="n">
        <v>0</v>
      </c>
      <c r="BC27" t="n">
        <v>120</v>
      </c>
      <c r="BD27" t="n">
        <v>0</v>
      </c>
      <c r="BE27" t="n">
        <v>10</v>
      </c>
      <c r="BF27" t="inlineStr">
        <is>
          <t>CONFORME</t>
        </is>
      </c>
    </row>
    <row r="28" ht="21.75" customFormat="1" customHeight="1" s="20" thickBot="1">
      <c r="A28" s="151" t="inlineStr">
        <is>
          <t>itabira</t>
        </is>
      </c>
      <c r="B28" s="77" t="inlineStr">
        <is>
          <t>CAUÊ</t>
        </is>
      </c>
      <c r="C28" s="79" t="inlineStr">
        <is>
          <t>CA6001</t>
        </is>
      </c>
      <c r="D28" s="77" t="inlineStr">
        <is>
          <t>AFEX</t>
        </is>
      </c>
      <c r="E28" s="78" t="inlineStr">
        <is>
          <t>CATERPILLAR</t>
        </is>
      </c>
      <c r="F28" s="78" t="inlineStr">
        <is>
          <t>CAT 793F</t>
        </is>
      </c>
      <c r="G28" s="81">
        <f>IFERROR(IF(F28=$AB$2,"",VLOOKUP(F28,'DATASHEET EQUIPAMENTOS'!D:N,2,FALSE)),"")</f>
        <v/>
      </c>
      <c r="H28" s="82" t="inlineStr">
        <is>
          <t>2x60lbs</t>
        </is>
      </c>
      <c r="I28" s="57">
        <f>_xlfn.XLOOKUP(Tabela2[[#This Row],[Modelo]],'DATASHEET EQUIPAMENTOS'!D:D,'DATASHEET EQUIPAMENTOS'!P:P,"",0,1)</f>
        <v/>
      </c>
      <c r="J28" s="81">
        <f>IF(F28=$Z$2,"",VLOOKUP(F28,'DATASHEET EQUIPAMENTOS'!D:N,3,FALSE))</f>
        <v/>
      </c>
      <c r="K28" s="84" t="n">
        <v>0</v>
      </c>
      <c r="L28" s="95">
        <f>IF(AZ28="CONFORME","CONFORME ✓","NÃO CONFORME ✗")</f>
        <v/>
      </c>
      <c r="M28" s="102">
        <f>IF(F28=$Z$2,"",VLOOKUP(F28,'DATASHEET EQUIPAMENTOS'!D:N,4,FALSE))</f>
        <v/>
      </c>
      <c r="N28" s="103" t="n">
        <v>6</v>
      </c>
      <c r="O28" s="102">
        <f>IF(F28=$Z$2,"",VLOOKUP(F28,'DATASHEET EQUIPAMENTOS'!D:N,5,FALSE))</f>
        <v/>
      </c>
      <c r="P28" s="103" t="n">
        <v>4</v>
      </c>
      <c r="Q28" s="102">
        <f>IF(F28=$Z$2,"",VLOOKUP(F28,'DATASHEET EQUIPAMENTOS'!D:N,6,FALSE))</f>
        <v/>
      </c>
      <c r="R28" s="104" t="n">
        <v>0</v>
      </c>
      <c r="S28" s="95">
        <f>IF(Tabela2[[#This Row],[Instalado Sensor Motor]]="Linear","CONFORME ✓",IF(SUM(M28,O28,Q28)&lt;SUM(N28,P28,R28),"CONFORME ✓",IF(SUM(M28,O28,Q28)=SUM(N28,P28,R28),"CONFORME ✓","NÃO CONFORME ✗")))</f>
        <v/>
      </c>
      <c r="T28" s="91">
        <f>IF(F28=$Z$2,"",VLOOKUP(F28,'DATASHEET EQUIPAMENTOS'!D:N,7,FALSE))</f>
        <v/>
      </c>
      <c r="U28" s="57" t="n">
        <v>18</v>
      </c>
      <c r="V28" s="56">
        <f>IF(F28=$Z$2,"",VLOOKUP(F28,'DATASHEET EQUIPAMENTOS'!D:N,8,FALSE))</f>
        <v/>
      </c>
      <c r="W28" s="62" t="n">
        <v>4</v>
      </c>
      <c r="X28" s="56">
        <f>IF(F28=$Z$2,"",VLOOKUP(F28,'DATASHEET EQUIPAMENTOS'!D:N,9,FALSE))</f>
        <v/>
      </c>
      <c r="Y28" s="62" t="n">
        <v>2</v>
      </c>
      <c r="Z28" s="57">
        <f>IF(SUM(T28,V28,X28)&lt;=SUM(U28,W28,Y28),"CONFORME ✓",IF(SUM(T28,V28,X28)&gt;SUM(U28,W28,Y28),"NÃO CONFORME ✗"))</f>
        <v/>
      </c>
      <c r="AA28" s="56">
        <f>IF(F28=$Z$2,"",VLOOKUP(F28,'DATASHEET EQUIPAMENTOS'!D:N,10,FALSE))</f>
        <v/>
      </c>
      <c r="AB28" s="57" t="n">
        <v>0</v>
      </c>
      <c r="AC28" s="56">
        <f>IF(F28=$Z$2,"",VLOOKUP(F28,'DATASHEET EQUIPAMENTOS'!D:N,11,FALSE))</f>
        <v/>
      </c>
      <c r="AD28" s="57" t="n">
        <v>0</v>
      </c>
      <c r="AE28" s="56">
        <f>IF(F28=$Z$2,"",VLOOKUP(F28,'DATASHEET EQUIPAMENTOS'!D:O,12,FALSE))</f>
        <v/>
      </c>
      <c r="AF28" s="57" t="n">
        <v>0</v>
      </c>
      <c r="AG28" s="57">
        <f>IF(SUM(AA28,AC28,AE28)&lt;=SUM(AB28,AD28,AF28),"CONFORME ✓",IF(SUM(AA28,AC28,AE28)&gt;SUM(AB28,AD28,AF28),"NÃO CONFORME ✗"))</f>
        <v/>
      </c>
      <c r="AH28" s="72" t="n">
        <v>3</v>
      </c>
      <c r="AI28" s="72" t="n">
        <v>4</v>
      </c>
      <c r="AJ28" s="72" t="n">
        <v>3.5</v>
      </c>
      <c r="AK28" s="57" t="inlineStr">
        <is>
          <t>Adequar Sistema  eletrico cabo sensor. Repocisionar atuador e painel da cabine, pois esta montado fora da visão do operador</t>
        </is>
      </c>
      <c r="AL28" s="58">
        <f>IFERROR(CALCULOS!H23,"NECESSÁRIO REVISAR DATASHEET")</f>
        <v/>
      </c>
      <c r="AM2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8" s="64">
        <f>SUM(Tabela2[[#This Row],[Nota de Prioridade Quantitativa(NOTAS: 1 PIOR NOTA; 5 MELHOR NOTA)]],Tabela2[[#This Row],[Nota de Prioridade Qualitativa(NOTAS: 1 PIOR NOTA;  5 MELHOR NOTA)]])</f>
        <v/>
      </c>
      <c r="AO28" s="57" t="n">
        <v>150350</v>
      </c>
      <c r="AP28" s="64">
        <f>SUM(Tabela2[[#This Row],[Nota de Prioridade Quantitativa(NOTAS: 1 PIOR NOTA; 5 MELHOR NOTA)]],Tabela2[[#This Row],[Nota de Prioridade Qualitativa(NOTAS: 1 PIOR NOTA;  5 MELHOR NOTA)]])</f>
        <v/>
      </c>
      <c r="AQ28" s="7" t="n"/>
      <c r="AR28" s="64">
        <f>SUM(Tabela2[[#This Row],[Nota de Prioridade Quantitativa(NOTAS: 1 PIOR NOTA; 5 MELHOR NOTA)]],Tabela2[[#This Row],[Nota de Prioridade Qualitativa(NOTAS: 1 PIOR NOTA;  5 MELHOR NOTA)]])</f>
        <v/>
      </c>
      <c r="AS28" s="7" t="n"/>
      <c r="AZ28" s="20">
        <f t="array" ref="AZ28">StatusCarga(G28,H28,J28,K28)</f>
        <v/>
      </c>
      <c r="BA28" s="20">
        <f>IF(AZ28="CONFORME","CONFORME ✓","NÃO CONFORME ✗")</f>
        <v/>
      </c>
      <c r="BB28" t="n">
        <v>0</v>
      </c>
      <c r="BC28" t="n">
        <v>120</v>
      </c>
      <c r="BD28" t="n">
        <v>0</v>
      </c>
      <c r="BE28" t="n">
        <v>0</v>
      </c>
      <c r="BF28" t="inlineStr">
        <is>
          <t>CONFORME</t>
        </is>
      </c>
    </row>
    <row r="29" ht="21.75" customFormat="1" customHeight="1" s="20" thickBot="1">
      <c r="A29" s="151" t="inlineStr">
        <is>
          <t>itabira</t>
        </is>
      </c>
      <c r="B29" s="77" t="inlineStr">
        <is>
          <t>CAUÊ</t>
        </is>
      </c>
      <c r="C29" s="78" t="inlineStr">
        <is>
          <t>CA70956</t>
        </is>
      </c>
      <c r="D29" s="77" t="inlineStr">
        <is>
          <t>AFEX</t>
        </is>
      </c>
      <c r="E29" s="78" t="inlineStr">
        <is>
          <t>CATERPILLAR</t>
        </is>
      </c>
      <c r="F29" s="78" t="inlineStr">
        <is>
          <t>CAT 793F</t>
        </is>
      </c>
      <c r="G29" s="81">
        <f>IFERROR(IF(F29=$AB$2,"",VLOOKUP(F29,'DATASHEET EQUIPAMENTOS'!D:N,2,FALSE)),"")</f>
        <v/>
      </c>
      <c r="H29" s="82" t="inlineStr">
        <is>
          <t>2x60lbs</t>
        </is>
      </c>
      <c r="I29" s="57">
        <f>_xlfn.XLOOKUP(Tabela2[[#This Row],[Modelo]],'DATASHEET EQUIPAMENTOS'!D:D,'DATASHEET EQUIPAMENTOS'!P:P,"",0,1)</f>
        <v/>
      </c>
      <c r="J29" s="81">
        <f>IF(F29=$Z$2,"",VLOOKUP(F29,'DATASHEET EQUIPAMENTOS'!D:N,3,FALSE))</f>
        <v/>
      </c>
      <c r="K29" s="84" t="inlineStr">
        <is>
          <t>2x5gal</t>
        </is>
      </c>
      <c r="L29" s="95">
        <f>IF(AZ29="CONFORME","CONFORME ✓","NÃO CONFORME ✗")</f>
        <v/>
      </c>
      <c r="M29" s="102">
        <f>IF(F29=$Z$2,"",VLOOKUP(F29,'DATASHEET EQUIPAMENTOS'!D:N,4,FALSE))</f>
        <v/>
      </c>
      <c r="N29" s="103" t="n">
        <v>6</v>
      </c>
      <c r="O29" s="102">
        <f>IF(F29=$Z$2,"",VLOOKUP(F29,'DATASHEET EQUIPAMENTOS'!D:N,5,FALSE))</f>
        <v/>
      </c>
      <c r="P29" s="103" t="n">
        <v>3</v>
      </c>
      <c r="Q29" s="102">
        <f>IF(F29=$Z$2,"",VLOOKUP(F29,'DATASHEET EQUIPAMENTOS'!D:N,6,FALSE))</f>
        <v/>
      </c>
      <c r="R29" s="104" t="n">
        <v>1</v>
      </c>
      <c r="S29" s="95">
        <f>IF(Tabela2[[#This Row],[Instalado Sensor Motor]]="Linear","CONFORME ✓",IF(SUM(M29,O29,Q29)&lt;SUM(N29,P29,R29),"CONFORME ✓",IF(SUM(M29,O29,Q29)=SUM(N29,P29,R29),"CONFORME ✓","NÃO CONFORME ✗")))</f>
        <v/>
      </c>
      <c r="T29" s="91">
        <f>IF(F29=$Z$2,"",VLOOKUP(F29,'DATASHEET EQUIPAMENTOS'!D:N,7,FALSE))</f>
        <v/>
      </c>
      <c r="U29" s="57" t="n">
        <v>18</v>
      </c>
      <c r="V29" s="56">
        <f>IF(F29=$Z$2,"",VLOOKUP(F29,'DATASHEET EQUIPAMENTOS'!D:N,8,FALSE))</f>
        <v/>
      </c>
      <c r="W29" s="62" t="n">
        <v>4</v>
      </c>
      <c r="X29" s="56">
        <f>IF(F29=$Z$2,"",VLOOKUP(F29,'DATASHEET EQUIPAMENTOS'!D:N,9,FALSE))</f>
        <v/>
      </c>
      <c r="Y29" s="62" t="n">
        <v>2</v>
      </c>
      <c r="Z29" s="57">
        <f>IF(SUM(T29,V29,X29)&lt;=SUM(U29,W29,Y29),"CONFORME ✓",IF(SUM(T29,V29,X29)&gt;SUM(U29,W29,Y29),"NÃO CONFORME ✗"))</f>
        <v/>
      </c>
      <c r="AA29" s="56">
        <f>IF(F29=$Z$2,"",VLOOKUP(F29,'DATASHEET EQUIPAMENTOS'!D:N,10,FALSE))</f>
        <v/>
      </c>
      <c r="AB29" s="57" t="n">
        <v>4</v>
      </c>
      <c r="AC29" s="56">
        <f>IF(F29=$Z$2,"",VLOOKUP(F29,'DATASHEET EQUIPAMENTOS'!D:N,11,FALSE))</f>
        <v/>
      </c>
      <c r="AD29" s="57" t="n">
        <v>0</v>
      </c>
      <c r="AE29" s="56">
        <f>IF(F29=$Z$2,"",VLOOKUP(F29,'DATASHEET EQUIPAMENTOS'!D:O,12,FALSE))</f>
        <v/>
      </c>
      <c r="AF29" s="57" t="n">
        <v>0</v>
      </c>
      <c r="AG29" s="57">
        <f>IF(SUM(AA29,AC29,AE29)&lt;=SUM(AB29,AD29,AF29),"CONFORME ✓",IF(SUM(AA29,AC29,AE29)&gt;SUM(AB29,AD29,AF29),"NÃO CONFORME ✗"))</f>
        <v/>
      </c>
      <c r="AH29" s="72" t="n">
        <v>3</v>
      </c>
      <c r="AI29" s="72" t="n">
        <v>3.5</v>
      </c>
      <c r="AJ29" s="72" t="n">
        <v>3.5</v>
      </c>
      <c r="AK29" s="57" t="inlineStr">
        <is>
          <t>Adequar Sistema  eletrico cabo sensor. Repocisionar atuador e painel da cabine, pois esta montado fora da visão do operador</t>
        </is>
      </c>
      <c r="AL29" s="58">
        <f>IFERROR(CALCULOS!H24,"NECESSÁRIO REVISAR DATASHEET")</f>
        <v/>
      </c>
      <c r="AM2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9" s="64">
        <f>SUM(Tabela2[[#This Row],[Nota de Prioridade Quantitativa(NOTAS: 1 PIOR NOTA; 5 MELHOR NOTA)]],Tabela2[[#This Row],[Nota de Prioridade Qualitativa(NOTAS: 1 PIOR NOTA;  5 MELHOR NOTA)]])</f>
        <v/>
      </c>
      <c r="AO29" s="57" t="n">
        <v>149946</v>
      </c>
      <c r="AP29" s="64">
        <f>SUM(Tabela2[[#This Row],[Nota de Prioridade Quantitativa(NOTAS: 1 PIOR NOTA; 5 MELHOR NOTA)]],Tabela2[[#This Row],[Nota de Prioridade Qualitativa(NOTAS: 1 PIOR NOTA;  5 MELHOR NOTA)]])</f>
        <v/>
      </c>
      <c r="AQ29" s="7" t="n"/>
      <c r="AR29" s="64">
        <f>SUM(Tabela2[[#This Row],[Nota de Prioridade Quantitativa(NOTAS: 1 PIOR NOTA; 5 MELHOR NOTA)]],Tabela2[[#This Row],[Nota de Prioridade Qualitativa(NOTAS: 1 PIOR NOTA;  5 MELHOR NOTA)]])</f>
        <v/>
      </c>
      <c r="AS29" s="7" t="n"/>
      <c r="AZ29" s="20">
        <f t="array" ref="AZ29">StatusCarga(G29,H29,J29,K29)</f>
        <v/>
      </c>
      <c r="BA29" s="20">
        <f>IF(AZ29="CONFORME","CONFORME ✓","NÃO CONFORME ✗")</f>
        <v/>
      </c>
      <c r="BB29" t="n">
        <v>0</v>
      </c>
      <c r="BC29" t="n">
        <v>120</v>
      </c>
      <c r="BD29" t="n">
        <v>0</v>
      </c>
      <c r="BE29" t="n">
        <v>10</v>
      </c>
      <c r="BF29" t="inlineStr">
        <is>
          <t>CONFORME</t>
        </is>
      </c>
    </row>
    <row r="30" ht="21.75" customHeight="1" thickBot="1">
      <c r="A30" s="151" t="inlineStr">
        <is>
          <t>itabira</t>
        </is>
      </c>
      <c r="B30" s="77" t="inlineStr">
        <is>
          <t>CONCEIÇÃO</t>
        </is>
      </c>
      <c r="C30" s="80" t="inlineStr">
        <is>
          <t>PM6224</t>
        </is>
      </c>
      <c r="D30" s="80" t="inlineStr">
        <is>
          <t>AFEX</t>
        </is>
      </c>
      <c r="E30" s="78" t="inlineStr">
        <is>
          <t>CATERPILLAR</t>
        </is>
      </c>
      <c r="F30" s="80" t="inlineStr">
        <is>
          <t>CAT 988H</t>
        </is>
      </c>
      <c r="G30" s="81">
        <f>IFERROR(IF(F30=$AB$2,"",VLOOKUP(F30,'DATASHEET EQUIPAMENTOS'!D:N,2,FALSE)),"")</f>
        <v/>
      </c>
      <c r="H30" s="82" t="inlineStr">
        <is>
          <t>1x60lbs</t>
        </is>
      </c>
      <c r="I30" s="57">
        <f>_xlfn.XLOOKUP(Tabela2[[#This Row],[Modelo]],'DATASHEET EQUIPAMENTOS'!D:D,'DATASHEET EQUIPAMENTOS'!P:P,"",0,1)</f>
        <v/>
      </c>
      <c r="J30" s="81">
        <f>IF(F30=$Z$2,"",VLOOKUP(F30,'DATASHEET EQUIPAMENTOS'!D:N,3,FALSE))</f>
        <v/>
      </c>
      <c r="K30" s="85" t="n">
        <v>0</v>
      </c>
      <c r="L30" s="95">
        <f>IF(AZ30="CONFORME","CONFORME ✓","NÃO CONFORME ✗")</f>
        <v/>
      </c>
      <c r="M30" s="102">
        <f>IF(F30=$Z$2,"",VLOOKUP(F30,'DATASHEET EQUIPAMENTOS'!D:N,4,FALSE))</f>
        <v/>
      </c>
      <c r="N30" s="103" t="n">
        <v>4</v>
      </c>
      <c r="O30" s="102">
        <f>IF(F30=$Z$2,"",VLOOKUP(F30,'DATASHEET EQUIPAMENTOS'!D:N,5,FALSE))</f>
        <v/>
      </c>
      <c r="P30" s="103" t="n">
        <v>6</v>
      </c>
      <c r="Q30" s="102">
        <f>IF(F30=$Z$2,"",VLOOKUP(F30,'DATASHEET EQUIPAMENTOS'!D:N,6,FALSE))</f>
        <v/>
      </c>
      <c r="R30" s="104" t="n">
        <v>2</v>
      </c>
      <c r="S30" s="95">
        <f>IF(Tabela2[[#This Row],[Instalado Sensor Motor]]="Linear","CONFORME ✓",IF(SUM(M30,O30,Q30)&lt;SUM(N30,P30,R30),"CONFORME ✓",IF(SUM(M30,O30,Q30)=SUM(N30,P30,R30),"CONFORME ✓","NÃO CONFORME ✗")))</f>
        <v/>
      </c>
      <c r="T30" s="91">
        <f>IF(F30=$Z$2,"",VLOOKUP(F30,'DATASHEET EQUIPAMENTOS'!D:N,7,FALSE))</f>
        <v/>
      </c>
      <c r="U30" s="57" t="n">
        <v>6</v>
      </c>
      <c r="V30" s="56">
        <f>IF(F30=$Z$2,"",VLOOKUP(F30,'DATASHEET EQUIPAMENTOS'!D:N,8,FALSE))</f>
        <v/>
      </c>
      <c r="W30" s="57" t="n">
        <v>12</v>
      </c>
      <c r="X30" s="56">
        <f>IF(F30=$Z$2,"",VLOOKUP(F30,'DATASHEET EQUIPAMENTOS'!D:N,9,FALSE))</f>
        <v/>
      </c>
      <c r="Y30" s="57" t="n">
        <v>6</v>
      </c>
      <c r="Z30" s="57">
        <f>IF(SUM(T30,V30,X30)&lt;=SUM(U30,W30,Y30),"CONFORME ✓",IF(SUM(T30,V30,X30)&gt;SUM(U30,W30,Y30),"NÃO CONFORME ✗"))</f>
        <v/>
      </c>
      <c r="AA30" s="56">
        <f>IF(F30=$Z$2,"",VLOOKUP(F30,'DATASHEET EQUIPAMENTOS'!D:N,10,FALSE))</f>
        <v/>
      </c>
      <c r="AB30" s="57" t="n">
        <v>0</v>
      </c>
      <c r="AC30" s="56">
        <f>IF(F30=$Z$2,"",VLOOKUP(F30,'DATASHEET EQUIPAMENTOS'!D:N,11,FALSE))</f>
        <v/>
      </c>
      <c r="AD30" s="57" t="n">
        <v>0</v>
      </c>
      <c r="AE30" s="56">
        <f>IF(F30=$Z$2,"",VLOOKUP(F30,'DATASHEET EQUIPAMENTOS'!D:O,12,FALSE))</f>
        <v/>
      </c>
      <c r="AF30" s="57" t="n">
        <v>0</v>
      </c>
      <c r="AG30" s="57">
        <f>IF(SUM(AA30,AC30,AE30)&lt;=SUM(AB30,AD30,AF30),"CONFORME ✓",IF(SUM(AA30,AC30,AE30)&gt;SUM(AB30,AD30,AF30),"NÃO CONFORME ✗"))</f>
        <v/>
      </c>
      <c r="AH30" s="72" t="n">
        <v>2</v>
      </c>
      <c r="AI30" s="72" t="n">
        <v>3.5</v>
      </c>
      <c r="AJ30" s="72" t="n">
        <v>4</v>
      </c>
      <c r="AK30" s="7" t="inlineStr">
        <is>
          <t>LAYOUTS DO EQUIPAMENTO PM6224 ESTÁ CONFORME AS FOTOS DO RELATÓRIO (EQUIPAMENTO NAO POSSUI SISTEMA DE LÍQUIDO )</t>
        </is>
      </c>
      <c r="AL30" s="58">
        <f>IFERROR(CALCULOS!H25,"NECESSÁRIO REVISAR DATASHEET")</f>
        <v/>
      </c>
      <c r="AM3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0" s="64">
        <f>SUM(Tabela2[[#This Row],[Nota de Prioridade Quantitativa(NOTAS: 1 PIOR NOTA; 5 MELHOR NOTA)]],Tabela2[[#This Row],[Nota de Prioridade Qualitativa(NOTAS: 1 PIOR NOTA;  5 MELHOR NOTA)]])</f>
        <v/>
      </c>
      <c r="AO30" s="7" t="n">
        <v>150071</v>
      </c>
      <c r="AP30" s="64">
        <f>SUM(Tabela2[[#This Row],[Nota de Prioridade Quantitativa(NOTAS: 1 PIOR NOTA; 5 MELHOR NOTA)]],Tabela2[[#This Row],[Nota de Prioridade Qualitativa(NOTAS: 1 PIOR NOTA;  5 MELHOR NOTA)]])</f>
        <v/>
      </c>
      <c r="AQ30" s="7" t="n"/>
      <c r="AR30" s="64">
        <f>SUM(Tabela2[[#This Row],[Nota de Prioridade Quantitativa(NOTAS: 1 PIOR NOTA; 5 MELHOR NOTA)]],Tabela2[[#This Row],[Nota de Prioridade Qualitativa(NOTAS: 1 PIOR NOTA;  5 MELHOR NOTA)]])</f>
        <v/>
      </c>
      <c r="AS30" s="7" t="n"/>
      <c r="AZ30" s="20">
        <f t="array" ref="AZ30">StatusCarga(G30,H30,J30,K30)</f>
        <v/>
      </c>
      <c r="BA30" s="20">
        <f>IF(AZ30="CONFORME","CONFORME ✓","NÃO CONFORME ✗")</f>
        <v/>
      </c>
      <c r="BB30" t="n">
        <v>0</v>
      </c>
      <c r="BC30" t="n">
        <v>60</v>
      </c>
      <c r="BD30" t="n">
        <v>0</v>
      </c>
      <c r="BE30" t="n">
        <v>0</v>
      </c>
      <c r="BF30" t="inlineStr">
        <is>
          <t>CONFORME</t>
        </is>
      </c>
    </row>
    <row r="31" ht="21.75" customHeight="1" thickBot="1">
      <c r="A31" s="151" t="inlineStr">
        <is>
          <t>itabira</t>
        </is>
      </c>
      <c r="B31" s="77" t="inlineStr">
        <is>
          <t>CONCEIÇÃO</t>
        </is>
      </c>
      <c r="C31" s="80" t="inlineStr">
        <is>
          <t>MN1166</t>
        </is>
      </c>
      <c r="D31" s="80" t="inlineStr">
        <is>
          <t>AFEX</t>
        </is>
      </c>
      <c r="E31" s="78" t="inlineStr">
        <is>
          <t>CATERPILLAR</t>
        </is>
      </c>
      <c r="F31" s="80" t="inlineStr">
        <is>
          <t>CAT 16M</t>
        </is>
      </c>
      <c r="G31" s="81">
        <f>IFERROR(IF(F31=$AB$2,"",VLOOKUP(F31,'DATASHEET EQUIPAMENTOS'!D:N,2,FALSE)),"")</f>
        <v/>
      </c>
      <c r="H31" s="82" t="inlineStr">
        <is>
          <t>1x60lbs</t>
        </is>
      </c>
      <c r="I31" s="57">
        <f>_xlfn.XLOOKUP(Tabela2[[#This Row],[Modelo]],'DATASHEET EQUIPAMENTOS'!D:D,'DATASHEET EQUIPAMENTOS'!P:P,"",0,1)</f>
        <v/>
      </c>
      <c r="J31" s="81">
        <f>IF(F31=$Z$2,"",VLOOKUP(F31,'DATASHEET EQUIPAMENTOS'!D:N,3,FALSE))</f>
        <v/>
      </c>
      <c r="K31" s="84" t="inlineStr">
        <is>
          <t>1x5gal</t>
        </is>
      </c>
      <c r="L31" s="95">
        <f>IF(AZ31="CONFORME","CONFORME ✓","NÃO CONFORME ✗")</f>
        <v/>
      </c>
      <c r="M31" s="102">
        <f>IF(F31=$Z$2,"",VLOOKUP(F31,'DATASHEET EQUIPAMENTOS'!D:N,4,FALSE))</f>
        <v/>
      </c>
      <c r="N31" s="103" t="n">
        <v>4</v>
      </c>
      <c r="O31" s="102">
        <f>IF(F31=$Z$2,"",VLOOKUP(F31,'DATASHEET EQUIPAMENTOS'!D:N,5,FALSE))</f>
        <v/>
      </c>
      <c r="P31" s="103" t="n">
        <v>6</v>
      </c>
      <c r="Q31" s="102">
        <f>IF(F31=$Z$2,"",VLOOKUP(F31,'DATASHEET EQUIPAMENTOS'!D:N,6,FALSE))</f>
        <v/>
      </c>
      <c r="R31" s="104" t="n">
        <v>2</v>
      </c>
      <c r="S31" s="95">
        <f>IF(Tabela2[[#This Row],[Instalado Sensor Motor]]="Linear","CONFORME ✓",IF(SUM(M31,O31,Q31)&lt;SUM(N31,P31,R31),"CONFORME ✓",IF(SUM(M31,O31,Q31)=SUM(N31,P31,R31),"CONFORME ✓","NÃO CONFORME ✗")))</f>
        <v/>
      </c>
      <c r="T31" s="91">
        <f>IF(F31=$Z$2,"",VLOOKUP(F31,'DATASHEET EQUIPAMENTOS'!D:N,7,FALSE))</f>
        <v/>
      </c>
      <c r="U31" s="57" t="n">
        <v>6</v>
      </c>
      <c r="V31" s="56">
        <f>IF(F31=$Z$2,"",VLOOKUP(F31,'DATASHEET EQUIPAMENTOS'!D:N,8,FALSE))</f>
        <v/>
      </c>
      <c r="W31" s="57" t="n">
        <v>12</v>
      </c>
      <c r="X31" s="56">
        <f>IF(F31=$Z$2,"",VLOOKUP(F31,'DATASHEET EQUIPAMENTOS'!D:N,9,FALSE))</f>
        <v/>
      </c>
      <c r="Y31" s="57" t="n">
        <v>6</v>
      </c>
      <c r="Z31" s="57">
        <f>IF(SUM(T31,V31,X31)&lt;=SUM(U31,W31,Y31),"CONFORME ✓",IF(SUM(T31,V31,X31)&gt;SUM(U31,W31,Y31),"NÃO CONFORME ✗"))</f>
        <v/>
      </c>
      <c r="AA31" s="56">
        <f>IF(F31=$Z$2,"",VLOOKUP(F31,'DATASHEET EQUIPAMENTOS'!D:N,10,FALSE))</f>
        <v/>
      </c>
      <c r="AB31" s="57" t="n">
        <v>3</v>
      </c>
      <c r="AC31" s="56">
        <f>IF(F31=$Z$2,"",VLOOKUP(F31,'DATASHEET EQUIPAMENTOS'!D:N,11,FALSE))</f>
        <v/>
      </c>
      <c r="AD31" s="57" t="n">
        <v>3</v>
      </c>
      <c r="AE31" s="56">
        <f>IF(F31=$Z$2,"",VLOOKUP(F31,'DATASHEET EQUIPAMENTOS'!D:O,12,FALSE))</f>
        <v/>
      </c>
      <c r="AF31" s="57" t="n">
        <v>0</v>
      </c>
      <c r="AG31" s="57">
        <f>IF(SUM(AA31,AC31,AE31)&lt;=SUM(AB31,AD31,AF31),"CONFORME ✓",IF(SUM(AA31,AC31,AE31)&gt;SUM(AB31,AD31,AF31),"NÃO CONFORME ✗"))</f>
        <v/>
      </c>
      <c r="AH31" s="72" t="n">
        <v>4</v>
      </c>
      <c r="AI31" s="72" t="n">
        <v>4</v>
      </c>
      <c r="AJ31" s="72" t="n">
        <v>4</v>
      </c>
      <c r="AK31" s="7" t="inlineStr">
        <is>
          <t>LAYOUTS DO EQUIPAMENTO CONFORME AS FOTOS DO RELATÓRIO</t>
        </is>
      </c>
      <c r="AL31" s="58">
        <f>IFERROR(CALCULOS!H26,"NECESSÁRIO REVISAR DATASHEET")</f>
        <v/>
      </c>
      <c r="AM3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1" s="64">
        <f>SUM(Tabela2[[#This Row],[Nota de Prioridade Quantitativa(NOTAS: 1 PIOR NOTA; 5 MELHOR NOTA)]],Tabela2[[#This Row],[Nota de Prioridade Qualitativa(NOTAS: 1 PIOR NOTA;  5 MELHOR NOTA)]])</f>
        <v/>
      </c>
      <c r="AO31" s="7" t="n">
        <v>150077</v>
      </c>
      <c r="AP31" s="64">
        <f>SUM(Tabela2[[#This Row],[Nota de Prioridade Quantitativa(NOTAS: 1 PIOR NOTA; 5 MELHOR NOTA)]],Tabela2[[#This Row],[Nota de Prioridade Qualitativa(NOTAS: 1 PIOR NOTA;  5 MELHOR NOTA)]])</f>
        <v/>
      </c>
      <c r="AQ31" s="7" t="n"/>
      <c r="AR31" s="64">
        <f>SUM(Tabela2[[#This Row],[Nota de Prioridade Quantitativa(NOTAS: 1 PIOR NOTA; 5 MELHOR NOTA)]],Tabela2[[#This Row],[Nota de Prioridade Qualitativa(NOTAS: 1 PIOR NOTA;  5 MELHOR NOTA)]])</f>
        <v/>
      </c>
      <c r="AS31" s="7" t="n"/>
      <c r="AZ31" s="20">
        <f t="array" ref="AZ31">StatusCarga(G31,H31,J31,K31)</f>
        <v/>
      </c>
      <c r="BA31" s="20">
        <f>IF(AZ31="CONFORME","CONFORME ✓","NÃO CONFORME ✗")</f>
        <v/>
      </c>
      <c r="BB31" t="n">
        <v>0</v>
      </c>
      <c r="BC31" t="n">
        <v>60</v>
      </c>
      <c r="BD31" t="n">
        <v>0</v>
      </c>
      <c r="BE31" t="n">
        <v>5</v>
      </c>
      <c r="BF31" t="inlineStr">
        <is>
          <t>CONFORME</t>
        </is>
      </c>
    </row>
    <row r="32" ht="21.75" customHeight="1" thickBot="1">
      <c r="A32" s="151" t="inlineStr">
        <is>
          <t>itabira</t>
        </is>
      </c>
      <c r="B32" s="77" t="inlineStr">
        <is>
          <t>CAUÊ</t>
        </is>
      </c>
      <c r="C32" s="61" t="inlineStr">
        <is>
          <t>CA70952</t>
        </is>
      </c>
      <c r="D32" s="80" t="inlineStr">
        <is>
          <t>AFEX</t>
        </is>
      </c>
      <c r="E32" s="78" t="inlineStr">
        <is>
          <t>CATERPILLAR</t>
        </is>
      </c>
      <c r="F32" s="80" t="inlineStr">
        <is>
          <t>CAT 793F</t>
        </is>
      </c>
      <c r="G32" s="81">
        <f>IFERROR(IF(F32=$AB$2,"",VLOOKUP(F32,'DATASHEET EQUIPAMENTOS'!D:N,2,FALSE)),"")</f>
        <v/>
      </c>
      <c r="H32" s="82" t="inlineStr">
        <is>
          <t>2x60lbs</t>
        </is>
      </c>
      <c r="I32" s="57">
        <f>_xlfn.XLOOKUP(Tabela2[[#This Row],[Modelo]],'DATASHEET EQUIPAMENTOS'!D:D,'DATASHEET EQUIPAMENTOS'!P:P,"",0,1)</f>
        <v/>
      </c>
      <c r="J32" s="81">
        <f>IF(F32=$Z$2,"",VLOOKUP(F32,'DATASHEET EQUIPAMENTOS'!D:N,3,FALSE))</f>
        <v/>
      </c>
      <c r="K32" s="84" t="inlineStr">
        <is>
          <t>2x5gal</t>
        </is>
      </c>
      <c r="L32" s="95">
        <f>IF(AZ32="CONFORME","CONFORME ✓","NÃO CONFORME ✗")</f>
        <v/>
      </c>
      <c r="M32" s="102">
        <f>IF(F32=$Z$2,"",VLOOKUP(F32,'DATASHEET EQUIPAMENTOS'!D:N,4,FALSE))</f>
        <v/>
      </c>
      <c r="N32" s="103" t="n">
        <v>6</v>
      </c>
      <c r="O32" s="102">
        <f>IF(F32=$Z$2,"",VLOOKUP(F32,'DATASHEET EQUIPAMENTOS'!D:N,5,FALSE))</f>
        <v/>
      </c>
      <c r="P32" s="103" t="n">
        <v>4</v>
      </c>
      <c r="Q32" s="102">
        <f>IF(F32=$Z$2,"",VLOOKUP(F32,'DATASHEET EQUIPAMENTOS'!D:N,6,FALSE))</f>
        <v/>
      </c>
      <c r="R32" s="104" t="n">
        <v>0</v>
      </c>
      <c r="S32" s="95">
        <f>IF(Tabela2[[#This Row],[Instalado Sensor Motor]]="Linear","CONFORME ✓",IF(SUM(M32,O32,Q32)&lt;SUM(N32,P32,R32),"CONFORME ✓",IF(SUM(M32,O32,Q32)=SUM(N32,P32,R32),"CONFORME ✓","NÃO CONFORME ✗")))</f>
        <v/>
      </c>
      <c r="T32" s="91">
        <f>IF(F32=$Z$2,"",VLOOKUP(F32,'DATASHEET EQUIPAMENTOS'!D:N,7,FALSE))</f>
        <v/>
      </c>
      <c r="U32" s="57" t="n">
        <v>18</v>
      </c>
      <c r="V32" s="56">
        <f>IF(F32=$Z$2,"",VLOOKUP(F32,'DATASHEET EQUIPAMENTOS'!D:N,8,FALSE))</f>
        <v/>
      </c>
      <c r="W32" s="62" t="n">
        <v>4</v>
      </c>
      <c r="X32" s="56">
        <f>IF(F32=$Z$2,"",VLOOKUP(F32,'DATASHEET EQUIPAMENTOS'!D:N,9,FALSE))</f>
        <v/>
      </c>
      <c r="Y32" s="62" t="n">
        <v>2</v>
      </c>
      <c r="Z32" s="57">
        <f>IF(SUM(T32,V32,X32)&lt;=SUM(U32,W32,Y32),"CONFORME ✓",IF(SUM(T32,V32,X32)&gt;SUM(U32,W32,Y32),"NÃO CONFORME ✗"))</f>
        <v/>
      </c>
      <c r="AA32" s="56">
        <f>IF(F32=$Z$2,"",VLOOKUP(F32,'DATASHEET EQUIPAMENTOS'!D:N,10,FALSE))</f>
        <v/>
      </c>
      <c r="AB32" s="57" t="n">
        <v>4</v>
      </c>
      <c r="AC32" s="56">
        <f>IF(F32=$Z$2,"",VLOOKUP(F32,'DATASHEET EQUIPAMENTOS'!D:N,11,FALSE))</f>
        <v/>
      </c>
      <c r="AD32" s="57" t="n">
        <v>0</v>
      </c>
      <c r="AE32" s="56">
        <f>IF(F32=$Z$2,"",VLOOKUP(F32,'DATASHEET EQUIPAMENTOS'!D:O,12,FALSE))</f>
        <v/>
      </c>
      <c r="AF32" s="57" t="n">
        <v>0</v>
      </c>
      <c r="AG32" s="57">
        <f>IF(SUM(AA32,AC32,AE32)&lt;=SUM(AB32,AD32,AF32),"CONFORME ✓",IF(SUM(AA32,AC32,AE32)&gt;SUM(AB32,AD32,AF32),"NÃO CONFORME ✗"))</f>
        <v/>
      </c>
      <c r="AH32" s="72" t="n">
        <v>2.5</v>
      </c>
      <c r="AI32" s="72" t="n">
        <v>3.5</v>
      </c>
      <c r="AJ32" s="72" t="n">
        <v>3.5</v>
      </c>
      <c r="AK32" s="57" t="inlineStr">
        <is>
          <t>Adequar Sistema  eletrico cabo sensor. Repocisionar atuador e painel da cabine, pois esta montado fora da visão do operador</t>
        </is>
      </c>
      <c r="AL32" s="58">
        <f>IFERROR(CALCULOS!H27,"NECESSÁRIO REVISAR DATASHEET")</f>
        <v/>
      </c>
      <c r="AM3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2" s="64">
        <f>SUM(Tabela2[[#This Row],[Nota de Prioridade Quantitativa(NOTAS: 1 PIOR NOTA; 5 MELHOR NOTA)]],Tabela2[[#This Row],[Nota de Prioridade Qualitativa(NOTAS: 1 PIOR NOTA;  5 MELHOR NOTA)]])</f>
        <v/>
      </c>
      <c r="AO32" s="7" t="n">
        <v>150461</v>
      </c>
      <c r="AP32" s="64">
        <f>SUM(Tabela2[[#This Row],[Nota de Prioridade Quantitativa(NOTAS: 1 PIOR NOTA; 5 MELHOR NOTA)]],Tabela2[[#This Row],[Nota de Prioridade Qualitativa(NOTAS: 1 PIOR NOTA;  5 MELHOR NOTA)]])</f>
        <v/>
      </c>
      <c r="AQ32" s="7" t="n"/>
      <c r="AR32" s="64">
        <f>SUM(Tabela2[[#This Row],[Nota de Prioridade Quantitativa(NOTAS: 1 PIOR NOTA; 5 MELHOR NOTA)]],Tabela2[[#This Row],[Nota de Prioridade Qualitativa(NOTAS: 1 PIOR NOTA;  5 MELHOR NOTA)]])</f>
        <v/>
      </c>
      <c r="AS32" s="7" t="n"/>
      <c r="AZ32" s="20">
        <f t="array" ref="AZ32">StatusCarga(G32,H32,J32,K32)</f>
        <v/>
      </c>
      <c r="BA32" s="20">
        <f>IF(AZ32="CONFORME","CONFORME ✓","NÃO CONFORME ✗")</f>
        <v/>
      </c>
      <c r="BB32" t="n">
        <v>0</v>
      </c>
      <c r="BC32" t="n">
        <v>120</v>
      </c>
      <c r="BD32" t="n">
        <v>0</v>
      </c>
      <c r="BE32" t="n">
        <v>10</v>
      </c>
      <c r="BF32" t="inlineStr">
        <is>
          <t>CONFORME</t>
        </is>
      </c>
    </row>
    <row r="33" ht="21.75" customHeight="1" thickBot="1">
      <c r="A33" s="151" t="inlineStr">
        <is>
          <t>itabira</t>
        </is>
      </c>
      <c r="B33" s="77" t="inlineStr">
        <is>
          <t>CONCEIÇÃO</t>
        </is>
      </c>
      <c r="C33" s="80" t="inlineStr">
        <is>
          <t>MN1169</t>
        </is>
      </c>
      <c r="D33" s="80" t="inlineStr">
        <is>
          <t>AFEX</t>
        </is>
      </c>
      <c r="E33" s="78" t="inlineStr">
        <is>
          <t>CATERPILLAR</t>
        </is>
      </c>
      <c r="F33" s="80" t="inlineStr">
        <is>
          <t>CAT 16M</t>
        </is>
      </c>
      <c r="G33" s="81">
        <f>IFERROR(IF(F33=$AB$2,"",VLOOKUP(F33,'DATASHEET EQUIPAMENTOS'!D:N,2,FALSE)),"")</f>
        <v/>
      </c>
      <c r="H33" s="82" t="inlineStr">
        <is>
          <t>1x60lbs</t>
        </is>
      </c>
      <c r="I33" s="57">
        <f>_xlfn.XLOOKUP(Tabela2[[#This Row],[Modelo]],'DATASHEET EQUIPAMENTOS'!D:D,'DATASHEET EQUIPAMENTOS'!P:P,"",0,1)</f>
        <v/>
      </c>
      <c r="J33" s="81">
        <f>IF(F33=$Z$2,"",VLOOKUP(F33,'DATASHEET EQUIPAMENTOS'!D:N,3,FALSE))</f>
        <v/>
      </c>
      <c r="K33" s="84" t="inlineStr">
        <is>
          <t>1x5gal</t>
        </is>
      </c>
      <c r="L33" s="95">
        <f>IF(AZ33="CONFORME","CONFORME ✓","NÃO CONFORME ✗")</f>
        <v/>
      </c>
      <c r="M33" s="102">
        <f>IF(F33=$Z$2,"",VLOOKUP(F33,'DATASHEET EQUIPAMENTOS'!D:N,4,FALSE))</f>
        <v/>
      </c>
      <c r="N33" s="103" t="n">
        <v>4</v>
      </c>
      <c r="O33" s="102">
        <f>IF(F33=$Z$2,"",VLOOKUP(F33,'DATASHEET EQUIPAMENTOS'!D:N,5,FALSE))</f>
        <v/>
      </c>
      <c r="P33" s="103" t="n">
        <v>1</v>
      </c>
      <c r="Q33" s="102">
        <f>IF(F33=$Z$2,"",VLOOKUP(F33,'DATASHEET EQUIPAMENTOS'!D:N,6,FALSE))</f>
        <v/>
      </c>
      <c r="R33" s="104" t="n">
        <v>0</v>
      </c>
      <c r="S33" s="95">
        <f>IF(Tabela2[[#This Row],[Instalado Sensor Motor]]="Linear","CONFORME ✓",IF(SUM(M33,O33,Q33)&lt;SUM(N33,P33,R33),"CONFORME ✓",IF(SUM(M33,O33,Q33)=SUM(N33,P33,R33),"CONFORME ✓","NÃO CONFORME ✗")))</f>
        <v/>
      </c>
      <c r="T33" s="91">
        <f>IF(F33=$Z$2,"",VLOOKUP(F33,'DATASHEET EQUIPAMENTOS'!D:N,7,FALSE))</f>
        <v/>
      </c>
      <c r="U33" s="57" t="n">
        <v>6</v>
      </c>
      <c r="V33" s="56">
        <f>IF(F33=$Z$2,"",VLOOKUP(F33,'DATASHEET EQUIPAMENTOS'!D:N,8,FALSE))</f>
        <v/>
      </c>
      <c r="W33" s="57" t="n">
        <v>6</v>
      </c>
      <c r="X33" s="56">
        <f>IF(F33=$Z$2,"",VLOOKUP(F33,'DATASHEET EQUIPAMENTOS'!D:N,9,FALSE))</f>
        <v/>
      </c>
      <c r="Y33" s="57" t="n">
        <v>0</v>
      </c>
      <c r="Z33" s="57">
        <f>IF(SUM(T33,V33,X33)&lt;=SUM(U33,W33,Y33),"CONFORME ✓",IF(SUM(T33,V33,X33)&gt;SUM(U33,W33,Y33),"NÃO CONFORME ✗"))</f>
        <v/>
      </c>
      <c r="AA33" s="56">
        <f>IF(F33=$Z$2,"",VLOOKUP(F33,'DATASHEET EQUIPAMENTOS'!D:N,10,FALSE))</f>
        <v/>
      </c>
      <c r="AB33" s="57" t="n">
        <v>3</v>
      </c>
      <c r="AC33" s="56">
        <f>IF(F33=$Z$2,"",VLOOKUP(F33,'DATASHEET EQUIPAMENTOS'!D:N,11,FALSE))</f>
        <v/>
      </c>
      <c r="AD33" s="57" t="n">
        <v>0</v>
      </c>
      <c r="AE33" s="56">
        <f>IF(F33=$Z$2,"",VLOOKUP(F33,'DATASHEET EQUIPAMENTOS'!D:O,12,FALSE))</f>
        <v/>
      </c>
      <c r="AF33" s="57" t="n">
        <v>0</v>
      </c>
      <c r="AG33" s="57">
        <f>IF(SUM(AA33,AC33,AE33)&lt;=SUM(AB33,AD33,AF33),"CONFORME ✓",IF(SUM(AA33,AC33,AE33)&gt;SUM(AB33,AD33,AF33),"NÃO CONFORME ✗"))</f>
        <v/>
      </c>
      <c r="AH33" s="72" t="n">
        <v>4.5</v>
      </c>
      <c r="AI33" s="72" t="n">
        <v>4.5</v>
      </c>
      <c r="AJ33" s="72" t="n">
        <v>4.5</v>
      </c>
      <c r="AK33" s="7" t="inlineStr">
        <is>
          <t>EQUIPAMENTO COM INSTALAÇÃO DE SSI NOVA DUAL SHOT.</t>
        </is>
      </c>
      <c r="AL33" s="58">
        <f>IFERROR(CALCULOS!H28,"NECESSÁRIO REVISAR DATASHEET")</f>
        <v/>
      </c>
      <c r="AM3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3" s="64">
        <f>SUM(Tabela2[[#This Row],[Nota de Prioridade Quantitativa(NOTAS: 1 PIOR NOTA; 5 MELHOR NOTA)]],Tabela2[[#This Row],[Nota de Prioridade Qualitativa(NOTAS: 1 PIOR NOTA;  5 MELHOR NOTA)]])</f>
        <v/>
      </c>
      <c r="AO33" s="7" t="n">
        <v>150615</v>
      </c>
      <c r="AP33" s="64">
        <f>SUM(Tabela2[[#This Row],[Nota de Prioridade Quantitativa(NOTAS: 1 PIOR NOTA; 5 MELHOR NOTA)]],Tabela2[[#This Row],[Nota de Prioridade Qualitativa(NOTAS: 1 PIOR NOTA;  5 MELHOR NOTA)]])</f>
        <v/>
      </c>
      <c r="AQ33" s="7" t="n">
        <v>0</v>
      </c>
      <c r="AR33" s="64">
        <f>SUM(Tabela2[[#This Row],[Nota de Prioridade Quantitativa(NOTAS: 1 PIOR NOTA; 5 MELHOR NOTA)]],Tabela2[[#This Row],[Nota de Prioridade Qualitativa(NOTAS: 1 PIOR NOTA;  5 MELHOR NOTA)]])</f>
        <v/>
      </c>
      <c r="AS33" s="7" t="n"/>
      <c r="AZ33" s="20">
        <f t="array" ref="AZ33">StatusCarga(G33,H33,J33,K33)</f>
        <v/>
      </c>
      <c r="BA33" s="20">
        <f>IF(AZ33="CONFORME","CONFORME ✓","NÃO CONFORME ✗")</f>
        <v/>
      </c>
      <c r="BB33" t="n">
        <v>0</v>
      </c>
      <c r="BC33" t="n">
        <v>60</v>
      </c>
      <c r="BD33" t="n">
        <v>0</v>
      </c>
      <c r="BE33" t="n">
        <v>5</v>
      </c>
      <c r="BF33" t="inlineStr">
        <is>
          <t>CONFORME</t>
        </is>
      </c>
    </row>
    <row r="34" ht="21.75" customFormat="1" customHeight="1" s="22" thickBot="1">
      <c r="A34" s="151" t="inlineStr">
        <is>
          <t>itabira</t>
        </is>
      </c>
      <c r="B34" s="77" t="inlineStr">
        <is>
          <t>CONCEIÇÃO</t>
        </is>
      </c>
      <c r="C34" s="80" t="inlineStr">
        <is>
          <t>TE4709</t>
        </is>
      </c>
      <c r="D34" s="80" t="inlineStr">
        <is>
          <t>KIDDE</t>
        </is>
      </c>
      <c r="E34" s="78" t="inlineStr">
        <is>
          <t>CATERPILLAR</t>
        </is>
      </c>
      <c r="F34" s="80" t="inlineStr">
        <is>
          <t>CAT D5</t>
        </is>
      </c>
      <c r="G34" s="81">
        <f>IFERROR(IF(F34=$AB$2,"",VLOOKUP(F34,'DATASHEET EQUIPAMENTOS'!D:N,2,FALSE)),"")</f>
        <v/>
      </c>
      <c r="H34" s="83" t="inlineStr">
        <is>
          <t>1x25lbs</t>
        </is>
      </c>
      <c r="I34" s="61">
        <f>_xlfn.XLOOKUP(Tabela2[[#This Row],[Modelo]],'DATASHEET EQUIPAMENTOS'!D:D,'DATASHEET EQUIPAMENTOS'!P:P,"",0,1)</f>
        <v/>
      </c>
      <c r="J34" s="81">
        <f>IF(F34=$Z$2,"",VLOOKUP(F34,'DATASHEET EQUIPAMENTOS'!D:N,3,FALSE))</f>
        <v/>
      </c>
      <c r="K34" s="84" t="inlineStr">
        <is>
          <t>1x5gal</t>
        </is>
      </c>
      <c r="L34" s="95">
        <f>IF(AZ34="CONFORME","CONFORME ✓","NÃO CONFORME ✗")</f>
        <v/>
      </c>
      <c r="M34" s="102">
        <f>IF(F34=$Z$2,"",VLOOKUP(F34,'DATASHEET EQUIPAMENTOS'!D:N,4,FALSE))</f>
        <v/>
      </c>
      <c r="N34" s="106" t="inlineStr">
        <is>
          <t>Linear</t>
        </is>
      </c>
      <c r="O34" s="102">
        <f>IF(F34=$Z$2,"",VLOOKUP(F34,'DATASHEET EQUIPAMENTOS'!D:N,5,FALSE))</f>
        <v/>
      </c>
      <c r="P34" s="106" t="inlineStr">
        <is>
          <t>LINEAR</t>
        </is>
      </c>
      <c r="Q34" s="102">
        <f>IF(F34=$Z$2,"",VLOOKUP(F34,'DATASHEET EQUIPAMENTOS'!D:N,6,FALSE))</f>
        <v/>
      </c>
      <c r="R34" s="107" t="inlineStr">
        <is>
          <t>LINEAR</t>
        </is>
      </c>
      <c r="S34" s="95">
        <f>IF(Tabela2[[#This Row],[Instalado Sensor Motor]]="Linear","CONFORME ✓",IF(SUM(M34,O34,Q34)&lt;SUM(N34,P34,R34),"CONFORME ✓",IF(SUM(M34,O34,Q34)=SUM(N34,P34,R34),"CONFORME ✓","NÃO CONFORME ✗")))</f>
        <v/>
      </c>
      <c r="T34" s="91">
        <f>IF(F34=$Z$2,"",VLOOKUP(F34,'DATASHEET EQUIPAMENTOS'!D:N,7,FALSE))</f>
        <v/>
      </c>
      <c r="U34" s="61" t="n">
        <v>4</v>
      </c>
      <c r="V34" s="56">
        <f>IF(F34=$Z$2,"",VLOOKUP(F34,'DATASHEET EQUIPAMENTOS'!D:N,8,FALSE))</f>
        <v/>
      </c>
      <c r="W34" s="61" t="n">
        <v>0</v>
      </c>
      <c r="X34" s="56">
        <f>IF(F34=$Z$2,"",VLOOKUP(F34,'DATASHEET EQUIPAMENTOS'!D:N,9,FALSE))</f>
        <v/>
      </c>
      <c r="Y34" s="61" t="n">
        <v>0</v>
      </c>
      <c r="Z34" s="57">
        <f>IF(SUM(T34,V34,X34)&lt;=SUM(U34,W34,Y34),"CONFORME ✓",IF(SUM(T34,V34,X34)&gt;SUM(U34,W34,Y34),"NÃO CONFORME ✗"))</f>
        <v/>
      </c>
      <c r="AA34" s="56">
        <f>IF(F34=$Z$2,"",VLOOKUP(F34,'DATASHEET EQUIPAMENTOS'!D:N,10,FALSE))</f>
        <v/>
      </c>
      <c r="AB34" s="61" t="n">
        <v>4</v>
      </c>
      <c r="AC34" s="56">
        <f>IF(F34=$Z$2,"",VLOOKUP(F34,'DATASHEET EQUIPAMENTOS'!D:N,11,FALSE))</f>
        <v/>
      </c>
      <c r="AD34" s="61" t="n">
        <v>0</v>
      </c>
      <c r="AE34" s="56">
        <f>IF(F34=$Z$2,"",VLOOKUP(F34,'DATASHEET EQUIPAMENTOS'!D:O,12,FALSE))</f>
        <v/>
      </c>
      <c r="AF34" s="61" t="n">
        <v>0</v>
      </c>
      <c r="AG34" s="57">
        <f>IF(SUM(AA34,AC34,AE34)&lt;=SUM(AB34,AD34,AF34),"CONFORME ✓",IF(SUM(AA34,AC34,AE34)&gt;SUM(AB34,AD34,AF34),"NÃO CONFORME ✗"))</f>
        <v/>
      </c>
      <c r="AH34" s="72" t="n">
        <v>4</v>
      </c>
      <c r="AI34" s="72" t="n">
        <v>4</v>
      </c>
      <c r="AJ34" s="72" t="n">
        <v>4</v>
      </c>
      <c r="AK34" s="61" t="inlineStr">
        <is>
          <t>EQUIPAMENTO OPERANDO COM SISTEMA DUAL SHOT KIDDE, DEVIDO AO HORÁRIO DE LIBERAÇÃO DO EQUIPAMENTO NÃO FOI POSSÍVEL ABRIR PARTE DO PORÃO.</t>
        </is>
      </c>
      <c r="AL34" s="58">
        <f>IFERROR(CALCULOS!H29,"NECESSÁRIO REVISAR DATASHEET")</f>
        <v/>
      </c>
      <c r="AM3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4" s="64">
        <f>SUM(Tabela2[[#This Row],[Nota de Prioridade Quantitativa(NOTAS: 1 PIOR NOTA; 5 MELHOR NOTA)]],Tabela2[[#This Row],[Nota de Prioridade Qualitativa(NOTAS: 1 PIOR NOTA;  5 MELHOR NOTA)]])</f>
        <v/>
      </c>
      <c r="AO34" s="61" t="n">
        <v>150680</v>
      </c>
      <c r="AP34" s="64">
        <f>SUM(Tabela2[[#This Row],[Nota de Prioridade Quantitativa(NOTAS: 1 PIOR NOTA; 5 MELHOR NOTA)]],Tabela2[[#This Row],[Nota de Prioridade Qualitativa(NOTAS: 1 PIOR NOTA;  5 MELHOR NOTA)]])</f>
        <v/>
      </c>
      <c r="AQ34" s="61" t="n"/>
      <c r="AR34" s="65">
        <f>SUM(Tabela2[[#This Row],[Nota de Prioridade Quantitativa(NOTAS: 1 PIOR NOTA; 5 MELHOR NOTA)]],Tabela2[[#This Row],[Nota de Prioridade Qualitativa(NOTAS: 1 PIOR NOTA;  5 MELHOR NOTA)]])</f>
        <v/>
      </c>
      <c r="AS34" s="61" t="n"/>
      <c r="AZ34" s="20">
        <f t="array" ref="AZ34">StatusCarga(G34,H34,J34,K34)</f>
        <v/>
      </c>
      <c r="BA34" s="23">
        <f>IF(AZ34="CONFORME","CONFORME ✓","NÃO CONFORME ✗")</f>
        <v/>
      </c>
      <c r="BB34" t="n">
        <v>0</v>
      </c>
      <c r="BC34" t="n">
        <v>25</v>
      </c>
      <c r="BD34" t="n">
        <v>0</v>
      </c>
      <c r="BE34" t="n">
        <v>5</v>
      </c>
      <c r="BF34" t="inlineStr">
        <is>
          <t>CONFORME</t>
        </is>
      </c>
    </row>
    <row r="35" ht="21.75" customHeight="1" thickBot="1">
      <c r="A35" s="151" t="inlineStr">
        <is>
          <t>itabira</t>
        </is>
      </c>
      <c r="B35" s="77" t="inlineStr">
        <is>
          <t>CONCEIÇÃO</t>
        </is>
      </c>
      <c r="C35" s="80" t="inlineStr">
        <is>
          <t>PM6242</t>
        </is>
      </c>
      <c r="D35" s="80" t="inlineStr">
        <is>
          <t>AFEX</t>
        </is>
      </c>
      <c r="E35" s="78" t="inlineStr">
        <is>
          <t>CATERPILLAR</t>
        </is>
      </c>
      <c r="F35" s="80" t="inlineStr">
        <is>
          <t>CAT 988K</t>
        </is>
      </c>
      <c r="G35" s="81">
        <f>IFERROR(IF(F35=$AB$2,"",VLOOKUP(F35,'DATASHEET EQUIPAMENTOS'!D:N,2,FALSE)),"")</f>
        <v/>
      </c>
      <c r="H35" s="82" t="inlineStr">
        <is>
          <t>3x30lbs</t>
        </is>
      </c>
      <c r="I35" s="57">
        <f>_xlfn.XLOOKUP(Tabela2[[#This Row],[Modelo]],'DATASHEET EQUIPAMENTOS'!D:D,'DATASHEET EQUIPAMENTOS'!P:P,"",0,1)</f>
        <v/>
      </c>
      <c r="J35" s="81">
        <f>IF(F35=$Z$2,"",VLOOKUP(F35,'DATASHEET EQUIPAMENTOS'!D:N,3,FALSE))</f>
        <v/>
      </c>
      <c r="K35" s="84" t="inlineStr">
        <is>
          <t>1x5gal</t>
        </is>
      </c>
      <c r="L35" s="95">
        <f>IF(AZ35="CONFORME","CONFORME ✓","NÃO CONFORME ✗")</f>
        <v/>
      </c>
      <c r="M35" s="102">
        <f>IF(F35=$Z$2,"",VLOOKUP(F35,'DATASHEET EQUIPAMENTOS'!D:N,4,FALSE))</f>
        <v/>
      </c>
      <c r="N35" s="103" t="n">
        <v>4</v>
      </c>
      <c r="O35" s="102">
        <f>IF(F35=$Z$2,"",VLOOKUP(F35,'DATASHEET EQUIPAMENTOS'!D:N,5,FALSE))</f>
        <v/>
      </c>
      <c r="P35" s="103" t="n">
        <v>3</v>
      </c>
      <c r="Q35" s="102">
        <f>IF(F35=$Z$2,"",VLOOKUP(F35,'DATASHEET EQUIPAMENTOS'!D:N,6,FALSE))</f>
        <v/>
      </c>
      <c r="R35" s="104" t="n">
        <v>1</v>
      </c>
      <c r="S35" s="95">
        <f>IF(Tabela2[[#This Row],[Instalado Sensor Motor]]="Linear","CONFORME ✓",IF(SUM(M35,O35,Q35)&lt;SUM(N35,P35,R35),"CONFORME ✓",IF(SUM(M35,O35,Q35)=SUM(N35,P35,R35),"CONFORME ✓","NÃO CONFORME ✗")))</f>
        <v/>
      </c>
      <c r="T35" s="91">
        <f>IF(F35=$Z$2,"",VLOOKUP(F35,'DATASHEET EQUIPAMENTOS'!D:N,7,FALSE))</f>
        <v/>
      </c>
      <c r="U35" s="57" t="n">
        <v>6</v>
      </c>
      <c r="V35" s="56">
        <f>IF(F35=$Z$2,"",VLOOKUP(F35,'DATASHEET EQUIPAMENTOS'!D:N,8,FALSE))</f>
        <v/>
      </c>
      <c r="W35" s="57" t="n">
        <v>6</v>
      </c>
      <c r="X35" s="56">
        <f>IF(F35=$Z$2,"",VLOOKUP(F35,'DATASHEET EQUIPAMENTOS'!D:N,9,FALSE))</f>
        <v/>
      </c>
      <c r="Y35" s="57" t="n">
        <v>6</v>
      </c>
      <c r="Z35" s="57">
        <f>IF(SUM(T35,V35,X35)&lt;=SUM(U35,W35,Y35),"CONFORME ✓",IF(SUM(T35,V35,X35)&gt;SUM(U35,W35,Y35),"NÃO CONFORME ✗"))</f>
        <v/>
      </c>
      <c r="AA35" s="56">
        <f>IF(F35=$Z$2,"",VLOOKUP(F35,'DATASHEET EQUIPAMENTOS'!D:N,10,FALSE))</f>
        <v/>
      </c>
      <c r="AB35" s="57" t="n">
        <v>3</v>
      </c>
      <c r="AC35" s="56">
        <f>IF(F35=$Z$2,"",VLOOKUP(F35,'DATASHEET EQUIPAMENTOS'!D:N,11,FALSE))</f>
        <v/>
      </c>
      <c r="AD35" s="57" t="n">
        <v>0</v>
      </c>
      <c r="AE35" s="56">
        <f>IF(F35=$Z$2,"",VLOOKUP(F35,'DATASHEET EQUIPAMENTOS'!D:O,12,FALSE))</f>
        <v/>
      </c>
      <c r="AF35" s="57" t="n">
        <v>0</v>
      </c>
      <c r="AG35" s="57">
        <f>IF(SUM(AA35,AC35,AE35)&lt;=SUM(AB35,AD35,AF35),"CONFORME ✓",IF(SUM(AA35,AC35,AE35)&gt;SUM(AB35,AD35,AF35),"NÃO CONFORME ✗"))</f>
        <v/>
      </c>
      <c r="AH35" s="72" t="n">
        <v>3</v>
      </c>
      <c r="AI35" s="72" t="n">
        <v>4</v>
      </c>
      <c r="AJ35" s="72" t="n">
        <v>3.5</v>
      </c>
      <c r="AK35" s="7" t="inlineStr">
        <is>
          <t>refazer o posicionamento dos cabos dos sensores; reposicionar o painel da cabine</t>
        </is>
      </c>
      <c r="AL35" s="58">
        <f>IFERROR(CALCULOS!H30,"NECESSÁRIO REVISAR DATASHEET")</f>
        <v/>
      </c>
      <c r="AM3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5" s="64">
        <f>SUM(Tabela2[[#This Row],[Nota de Prioridade Quantitativa(NOTAS: 1 PIOR NOTA; 5 MELHOR NOTA)]],Tabela2[[#This Row],[Nota de Prioridade Qualitativa(NOTAS: 1 PIOR NOTA;  5 MELHOR NOTA)]])</f>
        <v/>
      </c>
      <c r="AO35" s="7" t="n">
        <v>151088</v>
      </c>
      <c r="AP35" s="64">
        <f>SUM(Tabela2[[#This Row],[Nota de Prioridade Quantitativa(NOTAS: 1 PIOR NOTA; 5 MELHOR NOTA)]],Tabela2[[#This Row],[Nota de Prioridade Qualitativa(NOTAS: 1 PIOR NOTA;  5 MELHOR NOTA)]])</f>
        <v/>
      </c>
      <c r="AQ35" s="7" t="n"/>
      <c r="AR35" s="64">
        <f>SUM(Tabela2[[#This Row],[Nota de Prioridade Quantitativa(NOTAS: 1 PIOR NOTA; 5 MELHOR NOTA)]],Tabela2[[#This Row],[Nota de Prioridade Qualitativa(NOTAS: 1 PIOR NOTA;  5 MELHOR NOTA)]])</f>
        <v/>
      </c>
      <c r="AS35" s="7" t="n"/>
      <c r="AZ35" s="20">
        <f t="array" ref="AZ35">StatusCarga(G35,H35,J35,K35)</f>
        <v/>
      </c>
      <c r="BA35" s="20">
        <f>IF(AZ35="CONFORME","CONFORME ✓","NÃO CONFORME ✗")</f>
        <v/>
      </c>
      <c r="BB35" t="n">
        <v>0</v>
      </c>
      <c r="BC35" t="n">
        <v>90</v>
      </c>
      <c r="BD35" t="n">
        <v>0</v>
      </c>
      <c r="BE35" t="n">
        <v>5</v>
      </c>
      <c r="BF35" t="inlineStr">
        <is>
          <t>CONFORME</t>
        </is>
      </c>
    </row>
    <row r="36" ht="21.75" customHeight="1" thickBot="1">
      <c r="A36" s="151" t="inlineStr">
        <is>
          <t>itabira</t>
        </is>
      </c>
      <c r="B36" s="77" t="inlineStr">
        <is>
          <t>CONCEIÇÃO</t>
        </is>
      </c>
      <c r="C36" s="80" t="inlineStr">
        <is>
          <t>RC1710</t>
        </is>
      </c>
      <c r="D36" s="80" t="inlineStr">
        <is>
          <t>AFEX</t>
        </is>
      </c>
      <c r="E36" s="80" t="inlineStr">
        <is>
          <t>SANY</t>
        </is>
      </c>
      <c r="F36" s="80" t="inlineStr">
        <is>
          <t>SANSSR200C-8H</t>
        </is>
      </c>
      <c r="G36" s="81">
        <f>IFERROR(IF(F36=$AB$2,"",VLOOKUP(F36,'DATASHEET EQUIPAMENTOS'!D:N,2,FALSE)),"")</f>
        <v/>
      </c>
      <c r="H36" s="82" t="inlineStr">
        <is>
          <t>1x30lbs</t>
        </is>
      </c>
      <c r="I36" s="57">
        <f>_xlfn.XLOOKUP(Tabela2[[#This Row],[Modelo]],'DATASHEET EQUIPAMENTOS'!D:D,'DATASHEET EQUIPAMENTOS'!P:P,"",0,1)</f>
        <v/>
      </c>
      <c r="J36" s="81">
        <f>IF(F36=$Z$2,"",VLOOKUP(F36,'DATASHEET EQUIPAMENTOS'!D:N,3,FALSE))</f>
        <v/>
      </c>
      <c r="K36" s="85" t="n">
        <v>0</v>
      </c>
      <c r="L36" s="95">
        <f>IF(AZ36="CONFORME","CONFORME ✓","NÃO CONFORME ✗")</f>
        <v/>
      </c>
      <c r="M36" s="102">
        <f>IF(F36=$Z$2,"",VLOOKUP(F36,'DATASHEET EQUIPAMENTOS'!D:N,4,FALSE))</f>
        <v/>
      </c>
      <c r="N36" s="103" t="n">
        <v>4</v>
      </c>
      <c r="O36" s="102">
        <f>IF(F36=$Z$2,"",VLOOKUP(F36,'DATASHEET EQUIPAMENTOS'!D:N,5,FALSE))</f>
        <v/>
      </c>
      <c r="P36" s="103" t="n">
        <v>0</v>
      </c>
      <c r="Q36" s="102">
        <f>IF(F36=$Z$2,"",VLOOKUP(F36,'DATASHEET EQUIPAMENTOS'!D:N,6,FALSE))</f>
        <v/>
      </c>
      <c r="R36" s="104" t="n">
        <v>0</v>
      </c>
      <c r="S36" s="95">
        <f>IF(Tabela2[[#This Row],[Instalado Sensor Motor]]="Linear","CONFORME ✓",IF(SUM(M36,O36,Q36)&lt;SUM(N36,P36,R36),"CONFORME ✓",IF(SUM(M36,O36,Q36)=SUM(N36,P36,R36),"CONFORME ✓","NÃO CONFORME ✗")))</f>
        <v/>
      </c>
      <c r="T36" s="91">
        <f>IF(F36=$Z$2,"",VLOOKUP(F36,'DATASHEET EQUIPAMENTOS'!D:N,7,FALSE))</f>
        <v/>
      </c>
      <c r="U36" s="57" t="n">
        <v>6</v>
      </c>
      <c r="V36" s="56">
        <f>IF(F36=$Z$2,"",VLOOKUP(F36,'DATASHEET EQUIPAMENTOS'!D:N,8,FALSE))</f>
        <v/>
      </c>
      <c r="W36" s="57" t="n">
        <v>0</v>
      </c>
      <c r="X36" s="56">
        <f>IF(F36=$Z$2,"",VLOOKUP(F36,'DATASHEET EQUIPAMENTOS'!D:N,9,FALSE))</f>
        <v/>
      </c>
      <c r="Y36" s="57" t="n">
        <v>0</v>
      </c>
      <c r="Z36" s="57">
        <f>IF(SUM(T36,V36,X36)&lt;=SUM(U36,W36,Y36),"CONFORME ✓",IF(SUM(T36,V36,X36)&gt;SUM(U36,W36,Y36),"NÃO CONFORME ✗"))</f>
        <v/>
      </c>
      <c r="AA36" s="56">
        <f>IF(F36=$Z$2,"",VLOOKUP(F36,'DATASHEET EQUIPAMENTOS'!D:N,10,FALSE))</f>
        <v/>
      </c>
      <c r="AB36" s="57" t="n">
        <v>0</v>
      </c>
      <c r="AC36" s="56">
        <f>IF(F36=$Z$2,"",VLOOKUP(F36,'DATASHEET EQUIPAMENTOS'!D:N,11,FALSE))</f>
        <v/>
      </c>
      <c r="AD36" s="57" t="n">
        <v>0</v>
      </c>
      <c r="AE36" s="56">
        <f>IF(F36=$Z$2,"",VLOOKUP(F36,'DATASHEET EQUIPAMENTOS'!D:O,12,FALSE))</f>
        <v/>
      </c>
      <c r="AF36" s="57" t="n">
        <v>0</v>
      </c>
      <c r="AG36" s="57">
        <f>IF(SUM(AA36,AC36,AE36)&lt;=SUM(AB36,AD36,AF36),"CONFORME ✓",IF(SUM(AA36,AC36,AE36)&gt;SUM(AB36,AD36,AF36),"NÃO CONFORME ✗"))</f>
        <v/>
      </c>
      <c r="AH36" s="72" t="n">
        <v>5</v>
      </c>
      <c r="AI36" s="72" t="n">
        <v>5</v>
      </c>
      <c r="AJ36" s="72" t="n">
        <v>5</v>
      </c>
      <c r="AK36" s="7" t="n"/>
      <c r="AL36" s="58">
        <f>IFERROR(CALCULOS!H31,"NECESSÁRIO REVISAR DATASHEET")</f>
        <v/>
      </c>
      <c r="AM3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6" s="64">
        <f>SUM(Tabela2[[#This Row],[Nota de Prioridade Quantitativa(NOTAS: 1 PIOR NOTA; 5 MELHOR NOTA)]],Tabela2[[#This Row],[Nota de Prioridade Qualitativa(NOTAS: 1 PIOR NOTA;  5 MELHOR NOTA)]])</f>
        <v/>
      </c>
      <c r="AO36" s="7" t="n">
        <v>150608</v>
      </c>
      <c r="AP36" s="64">
        <f>SUM(Tabela2[[#This Row],[Nota de Prioridade Quantitativa(NOTAS: 1 PIOR NOTA; 5 MELHOR NOTA)]],Tabela2[[#This Row],[Nota de Prioridade Qualitativa(NOTAS: 1 PIOR NOTA;  5 MELHOR NOTA)]])</f>
        <v/>
      </c>
      <c r="AQ36" s="7" t="n"/>
      <c r="AR36" s="64">
        <f>SUM(Tabela2[[#This Row],[Nota de Prioridade Quantitativa(NOTAS: 1 PIOR NOTA; 5 MELHOR NOTA)]],Tabela2[[#This Row],[Nota de Prioridade Qualitativa(NOTAS: 1 PIOR NOTA;  5 MELHOR NOTA)]])</f>
        <v/>
      </c>
      <c r="AS36" s="7" t="n"/>
      <c r="AZ36" s="20">
        <f t="array" ref="AZ36">StatusCarga(G36,H36,J36,K36)</f>
        <v/>
      </c>
      <c r="BA36" s="20">
        <f>IF(AZ36="CONFORME","CONFORME ✓","NÃO CONFORME ✗")</f>
        <v/>
      </c>
      <c r="BB36" t="n">
        <v>0</v>
      </c>
      <c r="BC36" t="n">
        <v>30</v>
      </c>
      <c r="BD36" t="n">
        <v>0</v>
      </c>
      <c r="BE36" t="n">
        <v>0</v>
      </c>
      <c r="BF36" t="inlineStr">
        <is>
          <t>CONFORME</t>
        </is>
      </c>
    </row>
    <row r="37" ht="21.75" customHeight="1" thickBot="1">
      <c r="A37" s="151" t="inlineStr">
        <is>
          <t>itabira</t>
        </is>
      </c>
      <c r="B37" s="77" t="inlineStr">
        <is>
          <t>CAUÊ</t>
        </is>
      </c>
      <c r="C37" s="61" t="inlineStr">
        <is>
          <t>CA70955</t>
        </is>
      </c>
      <c r="D37" s="80" t="inlineStr">
        <is>
          <t>AFEX</t>
        </is>
      </c>
      <c r="E37" s="78" t="inlineStr">
        <is>
          <t>CATERPILLAR</t>
        </is>
      </c>
      <c r="F37" s="80" t="inlineStr">
        <is>
          <t>CAT 793F</t>
        </is>
      </c>
      <c r="G37" s="81">
        <f>IFERROR(IF(F37=$AB$2,"",VLOOKUP(F37,'DATASHEET EQUIPAMENTOS'!D:N,2,FALSE)),"")</f>
        <v/>
      </c>
      <c r="H37" s="82" t="inlineStr">
        <is>
          <t>2x60lbs</t>
        </is>
      </c>
      <c r="I37" s="57">
        <f>_xlfn.XLOOKUP(Tabela2[[#This Row],[Modelo]],'DATASHEET EQUIPAMENTOS'!D:D,'DATASHEET EQUIPAMENTOS'!P:P,"",0,1)</f>
        <v/>
      </c>
      <c r="J37" s="81">
        <f>IF(F37=$Z$2,"",VLOOKUP(F37,'DATASHEET EQUIPAMENTOS'!D:N,3,FALSE))</f>
        <v/>
      </c>
      <c r="K37" s="84" t="inlineStr">
        <is>
          <t>2x5gal</t>
        </is>
      </c>
      <c r="L37" s="95">
        <f>IF(AZ37="CONFORME","CONFORME ✓","NÃO CONFORME ✗")</f>
        <v/>
      </c>
      <c r="M37" s="102">
        <f>IF(F37=$Z$2,"",VLOOKUP(F37,'DATASHEET EQUIPAMENTOS'!D:N,4,FALSE))</f>
        <v/>
      </c>
      <c r="N37" s="103" t="n">
        <v>6</v>
      </c>
      <c r="O37" s="102">
        <f>IF(F37=$Z$2,"",VLOOKUP(F37,'DATASHEET EQUIPAMENTOS'!D:N,5,FALSE))</f>
        <v/>
      </c>
      <c r="P37" s="103" t="n">
        <v>4</v>
      </c>
      <c r="Q37" s="102">
        <f>IF(F37=$Z$2,"",VLOOKUP(F37,'DATASHEET EQUIPAMENTOS'!D:N,6,FALSE))</f>
        <v/>
      </c>
      <c r="R37" s="104" t="n">
        <v>0</v>
      </c>
      <c r="S37" s="95">
        <f>IF(Tabela2[[#This Row],[Instalado Sensor Motor]]="Linear","CONFORME ✓",IF(SUM(M37,O37,Q37)&lt;SUM(N37,P37,R37),"CONFORME ✓",IF(SUM(M37,O37,Q37)=SUM(N37,P37,R37),"CONFORME ✓","NÃO CONFORME ✗")))</f>
        <v/>
      </c>
      <c r="T37" s="91">
        <f>IF(F37=$Z$2,"",VLOOKUP(F37,'DATASHEET EQUIPAMENTOS'!D:N,7,FALSE))</f>
        <v/>
      </c>
      <c r="U37" s="57" t="n">
        <v>18</v>
      </c>
      <c r="V37" s="56">
        <f>IF(F37=$Z$2,"",VLOOKUP(F37,'DATASHEET EQUIPAMENTOS'!D:N,8,FALSE))</f>
        <v/>
      </c>
      <c r="W37" s="62" t="n">
        <v>4</v>
      </c>
      <c r="X37" s="56">
        <f>IF(F37=$Z$2,"",VLOOKUP(F37,'DATASHEET EQUIPAMENTOS'!D:N,9,FALSE))</f>
        <v/>
      </c>
      <c r="Y37" s="62" t="n">
        <v>2</v>
      </c>
      <c r="Z37" s="57">
        <f>IF(SUM(T37,V37,X37)&lt;=SUM(U37,W37,Y37),"CONFORME ✓",IF(SUM(T37,V37,X37)&gt;SUM(U37,W37,Y37),"NÃO CONFORME ✗"))</f>
        <v/>
      </c>
      <c r="AA37" s="56">
        <f>IF(F37=$Z$2,"",VLOOKUP(F37,'DATASHEET EQUIPAMENTOS'!D:N,10,FALSE))</f>
        <v/>
      </c>
      <c r="AB37" s="57" t="n">
        <v>4</v>
      </c>
      <c r="AC37" s="56">
        <f>IF(F37=$Z$2,"",VLOOKUP(F37,'DATASHEET EQUIPAMENTOS'!D:N,11,FALSE))</f>
        <v/>
      </c>
      <c r="AD37" s="57" t="n">
        <v>0</v>
      </c>
      <c r="AE37" s="56">
        <f>IF(F37=$Z$2,"",VLOOKUP(F37,'DATASHEET EQUIPAMENTOS'!D:O,12,FALSE))</f>
        <v/>
      </c>
      <c r="AF37" s="57" t="n">
        <v>0</v>
      </c>
      <c r="AG37" s="57">
        <f>IF(SUM(AA37,AC37,AE37)&lt;=SUM(AB37,AD37,AF37),"CONFORME ✓",IF(SUM(AA37,AC37,AE37)&gt;SUM(AB37,AD37,AF37),"NÃO CONFORME ✗"))</f>
        <v/>
      </c>
      <c r="AH37" s="72" t="n">
        <v>3</v>
      </c>
      <c r="AI37" s="72" t="n">
        <v>3</v>
      </c>
      <c r="AJ37" s="72" t="n">
        <v>3.5</v>
      </c>
      <c r="AK37" s="57" t="inlineStr">
        <is>
          <t>Adequar Sistema  eletrico cabo sensor. Repocisionar atuador e painel da cabine, pois esta montado fora da visão do operador</t>
        </is>
      </c>
      <c r="AL37" s="58">
        <f>IFERROR(CALCULOS!H32,"NECESSÁRIO REVISAR DATASHEET")</f>
        <v/>
      </c>
      <c r="AM3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7" s="64">
        <f>SUM(Tabela2[[#This Row],[Nota de Prioridade Quantitativa(NOTAS: 1 PIOR NOTA; 5 MELHOR NOTA)]],Tabela2[[#This Row],[Nota de Prioridade Qualitativa(NOTAS: 1 PIOR NOTA;  5 MELHOR NOTA)]])</f>
        <v/>
      </c>
      <c r="AO37" s="7" t="n">
        <v>151295</v>
      </c>
      <c r="AP37" s="64">
        <f>SUM(Tabela2[[#This Row],[Nota de Prioridade Quantitativa(NOTAS: 1 PIOR NOTA; 5 MELHOR NOTA)]],Tabela2[[#This Row],[Nota de Prioridade Qualitativa(NOTAS: 1 PIOR NOTA;  5 MELHOR NOTA)]])</f>
        <v/>
      </c>
      <c r="AQ37" s="7" t="n"/>
      <c r="AR37" s="64">
        <f>SUM(Tabela2[[#This Row],[Nota de Prioridade Quantitativa(NOTAS: 1 PIOR NOTA; 5 MELHOR NOTA)]],Tabela2[[#This Row],[Nota de Prioridade Qualitativa(NOTAS: 1 PIOR NOTA;  5 MELHOR NOTA)]])</f>
        <v/>
      </c>
      <c r="AS37" s="7" t="n"/>
      <c r="AZ37" s="20">
        <f t="array" ref="AZ37">StatusCarga(G37,H37,J37,K37)</f>
        <v/>
      </c>
      <c r="BA37" s="20">
        <f>IF(AZ37="CONFORME","CONFORME ✓","NÃO CONFORME ✗")</f>
        <v/>
      </c>
      <c r="BB37" t="n">
        <v>0</v>
      </c>
      <c r="BC37" t="n">
        <v>120</v>
      </c>
      <c r="BD37" t="n">
        <v>0</v>
      </c>
      <c r="BE37" t="n">
        <v>10</v>
      </c>
      <c r="BF37" t="inlineStr">
        <is>
          <t>CONFORME</t>
        </is>
      </c>
    </row>
    <row r="38" ht="18" customHeight="1" thickBot="1">
      <c r="A38" s="151" t="inlineStr">
        <is>
          <t>itabira</t>
        </is>
      </c>
      <c r="B38" s="77" t="inlineStr">
        <is>
          <t>CONCEIÇÃO</t>
        </is>
      </c>
      <c r="C38" s="80" t="inlineStr">
        <is>
          <t>PF6752</t>
        </is>
      </c>
      <c r="D38" s="80" t="inlineStr">
        <is>
          <t>AFEX</t>
        </is>
      </c>
      <c r="E38" s="80" t="inlineStr">
        <is>
          <t>EPIROC</t>
        </is>
      </c>
      <c r="F38" s="80" t="inlineStr">
        <is>
          <t>PV-275</t>
        </is>
      </c>
      <c r="G38" s="81">
        <f>IFERROR(IF(F38=$AB$2,"",VLOOKUP(F38,'DATASHEET EQUIPAMENTOS'!D:N,2,FALSE)),"")</f>
        <v/>
      </c>
      <c r="H38" s="82" t="inlineStr">
        <is>
          <t>1x125lbs</t>
        </is>
      </c>
      <c r="I38" s="57">
        <f>_xlfn.XLOOKUP(Tabela2[[#This Row],[Modelo]],'DATASHEET EQUIPAMENTOS'!D:D,'DATASHEET EQUIPAMENTOS'!P:P,"",0,1)</f>
        <v/>
      </c>
      <c r="J38" s="81">
        <f>IF(F38=$Z$2,"",VLOOKUP(F38,'DATASHEET EQUIPAMENTOS'!D:N,3,FALSE))</f>
        <v/>
      </c>
      <c r="K38" s="84" t="inlineStr">
        <is>
          <t>1x15gal</t>
        </is>
      </c>
      <c r="L38" s="95">
        <f>IF(AZ38="CONFORME","CONFORME ✓","NÃO CONFORME ✗")</f>
        <v/>
      </c>
      <c r="M38" s="102">
        <f>IF(F38=$Z$2,"",VLOOKUP(F38,'DATASHEET EQUIPAMENTOS'!D:N,4,FALSE))</f>
        <v/>
      </c>
      <c r="N38" s="103" t="n">
        <v>6</v>
      </c>
      <c r="O38" s="102">
        <f>IF(F38=$Z$2,"",VLOOKUP(F38,'DATASHEET EQUIPAMENTOS'!D:N,5,FALSE))</f>
        <v/>
      </c>
      <c r="P38" s="103" t="n">
        <v>2</v>
      </c>
      <c r="Q38" s="102">
        <f>IF(F38=$Z$2,"",VLOOKUP(F38,'DATASHEET EQUIPAMENTOS'!D:N,6,FALSE))</f>
        <v/>
      </c>
      <c r="R38" s="104" t="n">
        <v>2</v>
      </c>
      <c r="S38" s="95">
        <f>IF(Tabela2[[#This Row],[Instalado Sensor Motor]]="Linear","CONFORME ✓",IF(SUM(M38,O38,Q38)&lt;SUM(N38,P38,R38),"CONFORME ✓",IF(SUM(M38,O38,Q38)=SUM(N38,P38,R38),"CONFORME ✓","NÃO CONFORME ✗")))</f>
        <v/>
      </c>
      <c r="T38" s="91">
        <f>IF(F38=$Z$2,"",VLOOKUP(F38,'DATASHEET EQUIPAMENTOS'!D:N,7,FALSE))</f>
        <v/>
      </c>
      <c r="U38" s="57" t="n">
        <v>6</v>
      </c>
      <c r="V38" s="56">
        <f>IF(F38=$Z$2,"",VLOOKUP(F38,'DATASHEET EQUIPAMENTOS'!D:N,8,FALSE))</f>
        <v/>
      </c>
      <c r="W38" s="57" t="n">
        <v>6</v>
      </c>
      <c r="X38" s="56">
        <f>IF(F38=$Z$2,"",VLOOKUP(F38,'DATASHEET EQUIPAMENTOS'!D:N,9,FALSE))</f>
        <v/>
      </c>
      <c r="Y38" s="57" t="n">
        <v>6</v>
      </c>
      <c r="Z38" s="57">
        <f>IF(SUM(T38,V38,X38)&lt;=SUM(U38,W38,Y38),"CONFORME ✓",IF(SUM(T38,V38,X38)&gt;SUM(U38,W38,Y38),"NÃO CONFORME ✗"))</f>
        <v/>
      </c>
      <c r="AA38" s="56">
        <f>IF(F38=$Z$2,"",VLOOKUP(F38,'DATASHEET EQUIPAMENTOS'!D:N,10,FALSE))</f>
        <v/>
      </c>
      <c r="AB38" s="57" t="n">
        <v>6</v>
      </c>
      <c r="AC38" s="56">
        <f>IF(F38=$Z$2,"",VLOOKUP(F38,'DATASHEET EQUIPAMENTOS'!D:N,11,FALSE))</f>
        <v/>
      </c>
      <c r="AD38" s="57" t="n">
        <v>0</v>
      </c>
      <c r="AE38" s="56">
        <f>IF(F38=$Z$2,"",VLOOKUP(F38,'DATASHEET EQUIPAMENTOS'!D:O,12,FALSE))</f>
        <v/>
      </c>
      <c r="AF38" s="57" t="n">
        <v>0</v>
      </c>
      <c r="AG38" s="57">
        <f>IF(SUM(AA38,AC38,AE38)&lt;=SUM(AB38,AD38,AF38),"CONFORME ✓",IF(SUM(AA38,AC38,AE38)&gt;SUM(AB38,AD38,AF38),"NÃO CONFORME ✗"))</f>
        <v/>
      </c>
      <c r="AH38" s="72" t="n">
        <v>4</v>
      </c>
      <c r="AI38" s="72" t="n">
        <v>4</v>
      </c>
      <c r="AJ38" s="72" t="n">
        <v>4</v>
      </c>
      <c r="AK38" s="7" t="inlineStr">
        <is>
          <t>EQUIPAMENTO OPERANDO COM SISTEMA DUAL SHOT, PRECISANDO FAZER UMA MELHORIA NA PARTE DE DETECÇÃO PASSARR PARA CABO LINEAR</t>
        </is>
      </c>
      <c r="AL38" s="58">
        <f>IFERROR(CALCULOS!H33,"NECESSÁRIO REVISAR DATASHEET")</f>
        <v/>
      </c>
      <c r="AM3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8" s="64">
        <f>SUM(Tabela2[[#This Row],[Nota de Prioridade Quantitativa(NOTAS: 1 PIOR NOTA; 5 MELHOR NOTA)]],Tabela2[[#This Row],[Nota de Prioridade Qualitativa(NOTAS: 1 PIOR NOTA;  5 MELHOR NOTA)]])</f>
        <v/>
      </c>
      <c r="AO38" s="7" t="n">
        <v>150679</v>
      </c>
      <c r="AP38" s="64">
        <f>SUM(Tabela2[[#This Row],[Nota de Prioridade Quantitativa(NOTAS: 1 PIOR NOTA; 5 MELHOR NOTA)]],Tabela2[[#This Row],[Nota de Prioridade Qualitativa(NOTAS: 1 PIOR NOTA;  5 MELHOR NOTA)]])</f>
        <v/>
      </c>
      <c r="AQ38" s="7" t="n"/>
      <c r="AR38" s="64">
        <f>SUM(Tabela2[[#This Row],[Nota de Prioridade Quantitativa(NOTAS: 1 PIOR NOTA; 5 MELHOR NOTA)]],Tabela2[[#This Row],[Nota de Prioridade Qualitativa(NOTAS: 1 PIOR NOTA;  5 MELHOR NOTA)]])</f>
        <v/>
      </c>
      <c r="AS38" s="7" t="n"/>
      <c r="AZ38" s="20">
        <f t="array" ref="AZ38">StatusCarga(G38,H38,J38,K38)</f>
        <v/>
      </c>
      <c r="BA38" s="20">
        <f>IF(AZ38="CONFORME","CONFORME ✓","NÃO CONFORME ✗")</f>
        <v/>
      </c>
      <c r="BB38" t="n">
        <v>0</v>
      </c>
      <c r="BC38" t="n">
        <v>125</v>
      </c>
      <c r="BD38" t="n">
        <v>0</v>
      </c>
      <c r="BE38" t="n">
        <v>15</v>
      </c>
      <c r="BF38" t="inlineStr">
        <is>
          <t>CONFORME</t>
        </is>
      </c>
    </row>
    <row r="39" ht="21.75" customHeight="1" thickBot="1">
      <c r="A39" s="151" t="inlineStr">
        <is>
          <t>itabira</t>
        </is>
      </c>
      <c r="B39" s="77" t="inlineStr">
        <is>
          <t>CONCEIÇÃO</t>
        </is>
      </c>
      <c r="C39" s="80" t="inlineStr">
        <is>
          <t>MN1207</t>
        </is>
      </c>
      <c r="D39" s="80" t="inlineStr">
        <is>
          <t>AFEX</t>
        </is>
      </c>
      <c r="E39" s="80" t="inlineStr">
        <is>
          <t>XCMG</t>
        </is>
      </c>
      <c r="F39" s="78" t="inlineStr">
        <is>
          <t>XCMG GR3505</t>
        </is>
      </c>
      <c r="G39" s="81">
        <f>IFERROR(IF(F39=$AB$2,"",VLOOKUP(F39,'DATASHEET EQUIPAMENTOS'!D:N,2,FALSE)),"")</f>
        <v/>
      </c>
      <c r="H39" s="82" t="inlineStr">
        <is>
          <t>1x60lbs</t>
        </is>
      </c>
      <c r="I39" s="57">
        <f>_xlfn.XLOOKUP(Tabela2[[#This Row],[Modelo]],'DATASHEET EQUIPAMENTOS'!D:D,'DATASHEET EQUIPAMENTOS'!P:P,"",0,1)</f>
        <v/>
      </c>
      <c r="J39" s="81">
        <f>IF(F39=$Z$2,"",VLOOKUP(F39,'DATASHEET EQUIPAMENTOS'!D:N,3,FALSE))</f>
        <v/>
      </c>
      <c r="K39" s="84" t="inlineStr">
        <is>
          <t>1x5gal</t>
        </is>
      </c>
      <c r="L39" s="95">
        <f>IF(AZ39="CONFORME","CONFORME ✓","NÃO CONFORME ✗")</f>
        <v/>
      </c>
      <c r="M39" s="102">
        <f>IF(F39=$Z$2,"",VLOOKUP(F39,'DATASHEET EQUIPAMENTOS'!D:N,4,FALSE))</f>
        <v/>
      </c>
      <c r="N39" s="103" t="n">
        <v>5</v>
      </c>
      <c r="O39" s="102">
        <f>IF(F39=$Z$2,"",VLOOKUP(F39,'DATASHEET EQUIPAMENTOS'!D:N,5,FALSE))</f>
        <v/>
      </c>
      <c r="P39" s="103" t="n">
        <v>0</v>
      </c>
      <c r="Q39" s="102">
        <f>IF(F39=$Z$2,"",VLOOKUP(F39,'DATASHEET EQUIPAMENTOS'!D:N,6,FALSE))</f>
        <v/>
      </c>
      <c r="R39" s="104" t="n">
        <v>1</v>
      </c>
      <c r="S39" s="95">
        <f>IF(Tabela2[[#This Row],[Instalado Sensor Motor]]="Linear","CONFORME ✓",IF(SUM(M39,O39,Q39)&lt;SUM(N39,P39,R39),"CONFORME ✓",IF(SUM(M39,O39,Q39)=SUM(N39,P39,R39),"CONFORME ✓","NÃO CONFORME ✗")))</f>
        <v/>
      </c>
      <c r="T39" s="91">
        <f>IF(F39=$Z$2,"",VLOOKUP(F39,'DATASHEET EQUIPAMENTOS'!D:N,7,FALSE))</f>
        <v/>
      </c>
      <c r="U39" s="57" t="n">
        <v>6</v>
      </c>
      <c r="V39" s="56">
        <f>IF(F39=$Z$2,"",VLOOKUP(F39,'DATASHEET EQUIPAMENTOS'!D:N,8,FALSE))</f>
        <v/>
      </c>
      <c r="W39" s="62" t="n">
        <v>3</v>
      </c>
      <c r="X39" s="56">
        <f>IF(F39=$Z$2,"",VLOOKUP(F39,'DATASHEET EQUIPAMENTOS'!D:N,9,FALSE))</f>
        <v/>
      </c>
      <c r="Y39" s="62" t="n">
        <v>3</v>
      </c>
      <c r="Z39" s="57">
        <f>IF(SUM(T39,V39,X39)&lt;=SUM(U39,W39,Y39),"CONFORME ✓",IF(SUM(T39,V39,X39)&gt;SUM(U39,W39,Y39),"NÃO CONFORME ✗"))</f>
        <v/>
      </c>
      <c r="AA39" s="56">
        <f>IF(F39=$Z$2,"",VLOOKUP(F39,'DATASHEET EQUIPAMENTOS'!D:N,10,FALSE))</f>
        <v/>
      </c>
      <c r="AB39" s="57" t="n">
        <v>4</v>
      </c>
      <c r="AC39" s="56">
        <f>IF(F39=$Z$2,"",VLOOKUP(F39,'DATASHEET EQUIPAMENTOS'!D:N,11,FALSE))</f>
        <v/>
      </c>
      <c r="AD39" s="57" t="n">
        <v>0</v>
      </c>
      <c r="AE39" s="56">
        <f>IF(F39=$Z$2,"",VLOOKUP(F39,'DATASHEET EQUIPAMENTOS'!D:O,12,FALSE))</f>
        <v/>
      </c>
      <c r="AF39" s="57" t="n">
        <v>0</v>
      </c>
      <c r="AG39" s="57">
        <f>IF(SUM(AA39,AC39,AE39)&lt;=SUM(AB39,AD39,AF39),"CONFORME ✓",IF(SUM(AA39,AC39,AE39)&gt;SUM(AB39,AD39,AF39),"NÃO CONFORME ✗"))</f>
        <v/>
      </c>
      <c r="AH39" s="72" t="n">
        <v>4</v>
      </c>
      <c r="AI39" s="72" t="n">
        <v>4</v>
      </c>
      <c r="AJ39" s="72" t="n">
        <v>4</v>
      </c>
      <c r="AK39" s="7" t="inlineStr">
        <is>
          <t>Instalação recente</t>
        </is>
      </c>
      <c r="AL39" s="58">
        <f>IFERROR(CALCULOS!H34,"NECESSÁRIO REVISAR DATASHEET")</f>
        <v/>
      </c>
      <c r="AM3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39" s="64">
        <f>SUM(Tabela2[[#This Row],[Nota de Prioridade Quantitativa(NOTAS: 1 PIOR NOTA; 5 MELHOR NOTA)]],Tabela2[[#This Row],[Nota de Prioridade Qualitativa(NOTAS: 1 PIOR NOTA;  5 MELHOR NOTA)]])</f>
        <v/>
      </c>
      <c r="AO39" s="7" t="n">
        <v>151411</v>
      </c>
      <c r="AP39" s="64">
        <f>SUM(Tabela2[[#This Row],[Nota de Prioridade Quantitativa(NOTAS: 1 PIOR NOTA; 5 MELHOR NOTA)]],Tabela2[[#This Row],[Nota de Prioridade Qualitativa(NOTAS: 1 PIOR NOTA;  5 MELHOR NOTA)]])</f>
        <v/>
      </c>
      <c r="AQ39" s="7" t="n"/>
      <c r="AR39" s="64">
        <f>SUM(Tabela2[[#This Row],[Nota de Prioridade Quantitativa(NOTAS: 1 PIOR NOTA; 5 MELHOR NOTA)]],Tabela2[[#This Row],[Nota de Prioridade Qualitativa(NOTAS: 1 PIOR NOTA;  5 MELHOR NOTA)]])</f>
        <v/>
      </c>
      <c r="AS39" s="7" t="n"/>
      <c r="AZ39" s="20">
        <f t="array" ref="AZ39">StatusCarga(G39,H39,J39,K39)</f>
        <v/>
      </c>
      <c r="BA39" s="20">
        <f>IF(AZ39="CONFORME","CONFORME ✓","NÃO CONFORME ✗")</f>
        <v/>
      </c>
      <c r="BB39" t="n">
        <v>0</v>
      </c>
      <c r="BC39" t="n">
        <v>60</v>
      </c>
      <c r="BD39" t="n">
        <v>0</v>
      </c>
      <c r="BE39" t="n">
        <v>5</v>
      </c>
      <c r="BF39" t="inlineStr">
        <is>
          <t>CONFORME</t>
        </is>
      </c>
    </row>
    <row r="40" ht="21.75" customHeight="1" thickBot="1">
      <c r="A40" s="151" t="inlineStr">
        <is>
          <t>itabira</t>
        </is>
      </c>
      <c r="B40" s="77" t="inlineStr">
        <is>
          <t>CAUÊ</t>
        </is>
      </c>
      <c r="C40" s="80" t="inlineStr">
        <is>
          <t>CA65921</t>
        </is>
      </c>
      <c r="D40" s="80" t="inlineStr">
        <is>
          <t>AFEX</t>
        </is>
      </c>
      <c r="E40" s="78" t="inlineStr">
        <is>
          <t>CATERPILLAR</t>
        </is>
      </c>
      <c r="F40" s="80" t="inlineStr">
        <is>
          <t>CAT 793D</t>
        </is>
      </c>
      <c r="G40" s="81">
        <f>IFERROR(IF(F40=$AB$2,"",VLOOKUP(F40,'DATASHEET EQUIPAMENTOS'!D:N,2,FALSE)),"")</f>
        <v/>
      </c>
      <c r="H40" s="82" t="inlineStr">
        <is>
          <t>4x30lbs</t>
        </is>
      </c>
      <c r="I40" s="57" t="n">
        <v>2</v>
      </c>
      <c r="J40" s="81">
        <f>IF(F40=$Z$2,"",VLOOKUP(F40,'DATASHEET EQUIPAMENTOS'!D:N,3,FALSE))</f>
        <v/>
      </c>
      <c r="K40" s="85" t="n">
        <v>0</v>
      </c>
      <c r="L40" s="95">
        <f>IF(AZ40="CONFORME","CONFORME ✓","NÃO CONFORME ✗")</f>
        <v/>
      </c>
      <c r="M40" s="102">
        <f>IF(F40=$Z$2,"",VLOOKUP(F40,'DATASHEET EQUIPAMENTOS'!D:N,4,FALSE))</f>
        <v/>
      </c>
      <c r="N40" s="103" t="n">
        <v>6</v>
      </c>
      <c r="O40" s="102">
        <f>IF(F40=$Z$2,"",VLOOKUP(F40,'DATASHEET EQUIPAMENTOS'!D:N,5,FALSE))</f>
        <v/>
      </c>
      <c r="P40" s="103" t="n">
        <v>2</v>
      </c>
      <c r="Q40" s="102">
        <f>IF(F40=$Z$2,"",VLOOKUP(F40,'DATASHEET EQUIPAMENTOS'!D:N,6,FALSE))</f>
        <v/>
      </c>
      <c r="R40" s="104" t="n">
        <v>0</v>
      </c>
      <c r="S40" s="95">
        <f>IF(Tabela2[[#This Row],[Instalado Sensor Motor]]="Linear","CONFORME ✓",IF(SUM(M40,O40,Q40)&lt;SUM(N40,P40,R40),"CONFORME ✓",IF(SUM(M40,O40,Q40)=SUM(N40,P40,R40),"CONFORME ✓","NÃO CONFORME ✗")))</f>
        <v/>
      </c>
      <c r="T40" s="91">
        <f>IF(F40=$Z$2,"",VLOOKUP(F40,'DATASHEET EQUIPAMENTOS'!D:N,7,FALSE))</f>
        <v/>
      </c>
      <c r="U40" s="57" t="n">
        <v>18</v>
      </c>
      <c r="V40" s="56">
        <f>IF(F40=$Z$2,"",VLOOKUP(F40,'DATASHEET EQUIPAMENTOS'!D:N,8,FALSE))</f>
        <v/>
      </c>
      <c r="W40" s="57" t="n">
        <v>6</v>
      </c>
      <c r="X40" s="56">
        <f>IF(F40=$Z$2,"",VLOOKUP(F40,'DATASHEET EQUIPAMENTOS'!D:N,9,FALSE))</f>
        <v/>
      </c>
      <c r="Y40" s="57" t="n">
        <v>0</v>
      </c>
      <c r="Z40" s="57">
        <f>IF(SUM(T40,V40,X40)&lt;=SUM(U40,W40,Y40),"CONFORME ✓",IF(SUM(T40,V40,X40)&gt;SUM(U40,W40,Y40),"NÃO CONFORME ✗"))</f>
        <v/>
      </c>
      <c r="AA40" s="56">
        <f>IF(F40=$Z$2,"",VLOOKUP(F40,'DATASHEET EQUIPAMENTOS'!D:N,10,FALSE))</f>
        <v/>
      </c>
      <c r="AB40" s="57" t="n">
        <v>0</v>
      </c>
      <c r="AC40" s="56">
        <f>IF(F40=$Z$2,"",VLOOKUP(F40,'DATASHEET EQUIPAMENTOS'!D:N,11,FALSE))</f>
        <v/>
      </c>
      <c r="AD40" s="57" t="n">
        <v>0</v>
      </c>
      <c r="AE40" s="56">
        <f>IF(F40=$Z$2,"",VLOOKUP(F40,'DATASHEET EQUIPAMENTOS'!D:O,12,FALSE))</f>
        <v/>
      </c>
      <c r="AF40" s="57" t="n">
        <v>0</v>
      </c>
      <c r="AG40" s="57">
        <f>IF(SUM(AA40,AC40,AE40)&lt;=SUM(AB40,AD40,AF40),"CONFORME ✓",IF(SUM(AA40,AC40,AE40)&gt;SUM(AB40,AD40,AF40),"NÃO CONFORME ✗"))</f>
        <v/>
      </c>
      <c r="AH40" s="72" t="n">
        <v>3.5</v>
      </c>
      <c r="AI40" s="72" t="n">
        <v>4</v>
      </c>
      <c r="AJ40" s="72" t="n">
        <v>3.5</v>
      </c>
      <c r="AK40" s="7" t="inlineStr">
        <is>
          <t>Realizar alteração na fixação do acionador e do painel</t>
        </is>
      </c>
      <c r="AL40" s="58">
        <f>IFERROR(CALCULOS!H35,"NECESSÁRIO REVISAR DATASHEET")</f>
        <v/>
      </c>
      <c r="AM4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0" s="64">
        <f>SUM(Tabela2[[#This Row],[Nota de Prioridade Quantitativa(NOTAS: 1 PIOR NOTA; 5 MELHOR NOTA)]],Tabela2[[#This Row],[Nota de Prioridade Qualitativa(NOTAS: 1 PIOR NOTA;  5 MELHOR NOTA)]])</f>
        <v/>
      </c>
      <c r="AO40" s="7" t="n">
        <v>151582</v>
      </c>
      <c r="AP40" s="64">
        <f>SUM(Tabela2[[#This Row],[Nota de Prioridade Quantitativa(NOTAS: 1 PIOR NOTA; 5 MELHOR NOTA)]],Tabela2[[#This Row],[Nota de Prioridade Qualitativa(NOTAS: 1 PIOR NOTA;  5 MELHOR NOTA)]])</f>
        <v/>
      </c>
      <c r="AQ40" s="7" t="n"/>
      <c r="AR40" s="64">
        <f>SUM(Tabela2[[#This Row],[Nota de Prioridade Quantitativa(NOTAS: 1 PIOR NOTA; 5 MELHOR NOTA)]],Tabela2[[#This Row],[Nota de Prioridade Qualitativa(NOTAS: 1 PIOR NOTA;  5 MELHOR NOTA)]])</f>
        <v/>
      </c>
      <c r="AS40" s="7" t="n"/>
      <c r="AZ40" s="20">
        <f t="array" ref="AZ40">StatusCarga(G40,H40,J40,K40)</f>
        <v/>
      </c>
      <c r="BA40" s="20">
        <f>IF(AZ40="CONFORME","CONFORME ✓","NÃO CONFORME ✗")</f>
        <v/>
      </c>
      <c r="BB40" t="n">
        <v>0</v>
      </c>
      <c r="BC40" t="n">
        <v>120</v>
      </c>
      <c r="BD40" t="n">
        <v>0</v>
      </c>
      <c r="BE40" t="n">
        <v>0</v>
      </c>
      <c r="BF40" t="inlineStr">
        <is>
          <t>CONFORME</t>
        </is>
      </c>
    </row>
    <row r="41" ht="21.75" customHeight="1" thickBot="1">
      <c r="A41" s="151" t="inlineStr">
        <is>
          <t>itabira</t>
        </is>
      </c>
      <c r="B41" s="77" t="inlineStr">
        <is>
          <t>CAUÊ</t>
        </is>
      </c>
      <c r="C41" s="80" t="inlineStr">
        <is>
          <t>CA65928</t>
        </is>
      </c>
      <c r="D41" s="80" t="inlineStr">
        <is>
          <t>AFEX</t>
        </is>
      </c>
      <c r="E41" s="78" t="inlineStr">
        <is>
          <t>CATERPILLAR</t>
        </is>
      </c>
      <c r="F41" s="80" t="inlineStr">
        <is>
          <t>CAT 793D</t>
        </is>
      </c>
      <c r="G41" s="81">
        <f>IFERROR(IF(F41=$AB$2,"",VLOOKUP(F41,'DATASHEET EQUIPAMENTOS'!D:N,2,FALSE)),"")</f>
        <v/>
      </c>
      <c r="H41" s="82" t="inlineStr">
        <is>
          <t>4x30lbs</t>
        </is>
      </c>
      <c r="I41" s="57">
        <f>_xlfn.XLOOKUP(Tabela2[[#This Row],[Modelo]],'DATASHEET EQUIPAMENTOS'!D:D,'DATASHEET EQUIPAMENTOS'!P:P,"",0,1)</f>
        <v/>
      </c>
      <c r="J41" s="81">
        <f>IF(F41=$Z$2,"",VLOOKUP(F41,'DATASHEET EQUIPAMENTOS'!D:N,3,FALSE))</f>
        <v/>
      </c>
      <c r="K41" s="85" t="n">
        <v>0</v>
      </c>
      <c r="L41" s="95">
        <f>IF(AZ41="CONFORME","CONFORME ✓","NÃO CONFORME ✗")</f>
        <v/>
      </c>
      <c r="M41" s="102">
        <f>IF(F41=$Z$2,"",VLOOKUP(F41,'DATASHEET EQUIPAMENTOS'!D:N,4,FALSE))</f>
        <v/>
      </c>
      <c r="N41" s="103" t="n">
        <v>6</v>
      </c>
      <c r="O41" s="102">
        <f>IF(F41=$Z$2,"",VLOOKUP(F41,'DATASHEET EQUIPAMENTOS'!D:N,5,FALSE))</f>
        <v/>
      </c>
      <c r="P41" s="103" t="n">
        <v>2</v>
      </c>
      <c r="Q41" s="102">
        <f>IF(F41=$Z$2,"",VLOOKUP(F41,'DATASHEET EQUIPAMENTOS'!D:N,6,FALSE))</f>
        <v/>
      </c>
      <c r="R41" s="104" t="n">
        <v>0</v>
      </c>
      <c r="S41" s="95">
        <f>IF(Tabela2[[#This Row],[Instalado Sensor Motor]]="Linear","CONFORME ✓",IF(SUM(M41,O41,Q41)&lt;SUM(N41,P41,R41),"CONFORME ✓",IF(SUM(M41,O41,Q41)=SUM(N41,P41,R41),"CONFORME ✓","NÃO CONFORME ✗")))</f>
        <v/>
      </c>
      <c r="T41" s="91">
        <f>IF(F41=$Z$2,"",VLOOKUP(F41,'DATASHEET EQUIPAMENTOS'!D:N,7,FALSE))</f>
        <v/>
      </c>
      <c r="U41" s="57" t="n">
        <v>18</v>
      </c>
      <c r="V41" s="56">
        <f>IF(F41=$Z$2,"",VLOOKUP(F41,'DATASHEET EQUIPAMENTOS'!D:N,8,FALSE))</f>
        <v/>
      </c>
      <c r="W41" s="57" t="n">
        <v>6</v>
      </c>
      <c r="X41" s="56">
        <f>IF(F41=$Z$2,"",VLOOKUP(F41,'DATASHEET EQUIPAMENTOS'!D:N,9,FALSE))</f>
        <v/>
      </c>
      <c r="Y41" s="57" t="n">
        <v>0</v>
      </c>
      <c r="Z41" s="57">
        <f>IF(SUM(T41,V41,X41)&lt;=SUM(U41,W41,Y41),"CONFORME ✓",IF(SUM(T41,V41,X41)&gt;SUM(U41,W41,Y41),"NÃO CONFORME ✗"))</f>
        <v/>
      </c>
      <c r="AA41" s="56">
        <f>IF(F41=$Z$2,"",VLOOKUP(F41,'DATASHEET EQUIPAMENTOS'!D:N,10,FALSE))</f>
        <v/>
      </c>
      <c r="AB41" s="57" t="n">
        <v>0</v>
      </c>
      <c r="AC41" s="56">
        <f>IF(F41=$Z$2,"",VLOOKUP(F41,'DATASHEET EQUIPAMENTOS'!D:N,11,FALSE))</f>
        <v/>
      </c>
      <c r="AD41" s="57" t="n">
        <v>0</v>
      </c>
      <c r="AE41" s="56">
        <f>IF(F41=$Z$2,"",VLOOKUP(F41,'DATASHEET EQUIPAMENTOS'!D:O,12,FALSE))</f>
        <v/>
      </c>
      <c r="AF41" s="57" t="n">
        <v>0</v>
      </c>
      <c r="AG41" s="57">
        <f>IF(SUM(AA41,AC41,AE41)&lt;=SUM(AB41,AD41,AF41),"CONFORME ✓",IF(SUM(AA41,AC41,AE41)&gt;SUM(AB41,AD41,AF41),"NÃO CONFORME ✗"))</f>
        <v/>
      </c>
      <c r="AH41" s="72" t="n">
        <v>3.5</v>
      </c>
      <c r="AI41" s="72" t="n">
        <v>4</v>
      </c>
      <c r="AJ41" s="72" t="n">
        <v>3.5</v>
      </c>
      <c r="AK41" s="7" t="inlineStr">
        <is>
          <t>Realizar alteração na fixação do acionador e do painel</t>
        </is>
      </c>
      <c r="AL41" s="58">
        <f>IFERROR(CALCULOS!H36,"NECESSÁRIO REVISAR DATASHEET")</f>
        <v/>
      </c>
      <c r="AM4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1" s="64">
        <f>SUM(Tabela2[[#This Row],[Nota de Prioridade Quantitativa(NOTAS: 1 PIOR NOTA; 5 MELHOR NOTA)]],Tabela2[[#This Row],[Nota de Prioridade Qualitativa(NOTAS: 1 PIOR NOTA;  5 MELHOR NOTA)]])</f>
        <v/>
      </c>
      <c r="AO41" s="7" t="n">
        <v>151604</v>
      </c>
      <c r="AP41" s="64">
        <f>SUM(Tabela2[[#This Row],[Nota de Prioridade Quantitativa(NOTAS: 1 PIOR NOTA; 5 MELHOR NOTA)]],Tabela2[[#This Row],[Nota de Prioridade Qualitativa(NOTAS: 1 PIOR NOTA;  5 MELHOR NOTA)]])</f>
        <v/>
      </c>
      <c r="AQ41" s="7" t="n"/>
      <c r="AR41" s="64">
        <f>SUM(Tabela2[[#This Row],[Nota de Prioridade Quantitativa(NOTAS: 1 PIOR NOTA; 5 MELHOR NOTA)]],Tabela2[[#This Row],[Nota de Prioridade Qualitativa(NOTAS: 1 PIOR NOTA;  5 MELHOR NOTA)]])</f>
        <v/>
      </c>
      <c r="AS41" s="7" t="n"/>
      <c r="AZ41" s="20">
        <f t="array" ref="AZ41">StatusCarga(G41,H41,J41,K41)</f>
        <v/>
      </c>
      <c r="BA41" s="20">
        <f>IF(AZ41="CONFORME","CONFORME ✓","NÃO CONFORME ✗")</f>
        <v/>
      </c>
      <c r="BB41" t="n">
        <v>0</v>
      </c>
      <c r="BC41" t="n">
        <v>120</v>
      </c>
      <c r="BD41" t="n">
        <v>0</v>
      </c>
      <c r="BE41" t="n">
        <v>0</v>
      </c>
      <c r="BF41" t="inlineStr">
        <is>
          <t>CONFORME</t>
        </is>
      </c>
    </row>
    <row r="42" ht="21.75" customHeight="1" thickBot="1">
      <c r="A42" s="151" t="inlineStr">
        <is>
          <t>itabira</t>
        </is>
      </c>
      <c r="B42" s="77" t="inlineStr">
        <is>
          <t>CONCEIÇÃO</t>
        </is>
      </c>
      <c r="C42" s="80" t="inlineStr">
        <is>
          <t>PC2722</t>
        </is>
      </c>
      <c r="D42" s="80" t="inlineStr">
        <is>
          <t>AFEX</t>
        </is>
      </c>
      <c r="E42" s="78" t="inlineStr">
        <is>
          <t>CATERPILLAR</t>
        </is>
      </c>
      <c r="F42" s="80" t="inlineStr">
        <is>
          <t>CAT 962H</t>
        </is>
      </c>
      <c r="G42" s="81">
        <f>IFERROR(IF(F42=$AB$2,"",VLOOKUP(F42,'DATASHEET EQUIPAMENTOS'!D:N,2,FALSE)),"")</f>
        <v/>
      </c>
      <c r="H42" s="82" t="inlineStr">
        <is>
          <t>2x30lbs</t>
        </is>
      </c>
      <c r="I42" s="57">
        <f>_xlfn.XLOOKUP(Tabela2[[#This Row],[Modelo]],'DATASHEET EQUIPAMENTOS'!D:D,'DATASHEET EQUIPAMENTOS'!P:P,"",0,1)</f>
        <v/>
      </c>
      <c r="J42" s="81">
        <f>IF(F42=$Z$2,"",VLOOKUP(F42,'DATASHEET EQUIPAMENTOS'!D:N,3,FALSE))</f>
        <v/>
      </c>
      <c r="K42" s="85" t="n">
        <v>0</v>
      </c>
      <c r="L42" s="95">
        <f>IF(AZ42="CONFORME","CONFORME ✓","NÃO CONFORME ✗")</f>
        <v/>
      </c>
      <c r="M42" s="102">
        <f>IF(F42=$Z$2,"",VLOOKUP(F42,'DATASHEET EQUIPAMENTOS'!D:N,4,FALSE))</f>
        <v/>
      </c>
      <c r="N42" s="103" t="n">
        <v>4</v>
      </c>
      <c r="O42" s="102">
        <f>IF(F42=$Z$2,"",VLOOKUP(F42,'DATASHEET EQUIPAMENTOS'!D:N,5,FALSE))</f>
        <v/>
      </c>
      <c r="P42" s="103" t="n">
        <v>0</v>
      </c>
      <c r="Q42" s="102">
        <f>IF(F42=$Z$2,"",VLOOKUP(F42,'DATASHEET EQUIPAMENTOS'!D:N,6,FALSE))</f>
        <v/>
      </c>
      <c r="R42" s="104" t="n">
        <v>0</v>
      </c>
      <c r="S42" s="95">
        <f>IF(Tabela2[[#This Row],[Instalado Sensor Motor]]="Linear","CONFORME ✓",IF(SUM(M42,O42,Q42)&lt;SUM(N42,P42,R42),"CONFORME ✓",IF(SUM(M42,O42,Q42)=SUM(N42,P42,R42),"CONFORME ✓","NÃO CONFORME ✗")))</f>
        <v/>
      </c>
      <c r="T42" s="91">
        <f>IF(F42=$Z$2,"",VLOOKUP(F42,'DATASHEET EQUIPAMENTOS'!D:N,7,FALSE))</f>
        <v/>
      </c>
      <c r="U42" s="57" t="n">
        <v>12</v>
      </c>
      <c r="V42" s="56">
        <f>IF(F42=$Z$2,"",VLOOKUP(F42,'DATASHEET EQUIPAMENTOS'!D:N,8,FALSE))</f>
        <v/>
      </c>
      <c r="W42" s="57" t="n">
        <v>0</v>
      </c>
      <c r="X42" s="56">
        <f>IF(F42=$Z$2,"",VLOOKUP(F42,'DATASHEET EQUIPAMENTOS'!D:N,9,FALSE))</f>
        <v/>
      </c>
      <c r="Y42" s="57" t="n">
        <v>0</v>
      </c>
      <c r="Z42" s="57">
        <f>IF(SUM(T42,V42,X42)&lt;=SUM(U42,W42,Y42),"CONFORME ✓",IF(SUM(T42,V42,X42)&gt;SUM(U42,W42,Y42),"NÃO CONFORME ✗"))</f>
        <v/>
      </c>
      <c r="AA42" s="56">
        <f>IF(F42=$Z$2,"",VLOOKUP(F42,'DATASHEET EQUIPAMENTOS'!D:N,10,FALSE))</f>
        <v/>
      </c>
      <c r="AB42" s="57" t="n">
        <v>0</v>
      </c>
      <c r="AC42" s="56">
        <f>IF(F42=$Z$2,"",VLOOKUP(F42,'DATASHEET EQUIPAMENTOS'!D:N,11,FALSE))</f>
        <v/>
      </c>
      <c r="AD42" s="57" t="n">
        <v>0</v>
      </c>
      <c r="AE42" s="56">
        <f>IF(F42=$Z$2,"",VLOOKUP(F42,'DATASHEET EQUIPAMENTOS'!D:O,12,FALSE))</f>
        <v/>
      </c>
      <c r="AF42" s="57" t="n">
        <v>0</v>
      </c>
      <c r="AG42" s="57">
        <f>IF(SUM(AA42,AC42,AE42)&lt;=SUM(AB42,AD42,AF42),"CONFORME ✓",IF(SUM(AA42,AC42,AE42)&gt;SUM(AB42,AD42,AF42),"NÃO CONFORME ✗"))</f>
        <v/>
      </c>
      <c r="AH42" s="72" t="n">
        <v>4</v>
      </c>
      <c r="AI42" s="72" t="n">
        <v>4</v>
      </c>
      <c r="AJ42" s="72" t="n">
        <v>4</v>
      </c>
      <c r="AK42" s="7" t="n"/>
      <c r="AL42" s="58">
        <f>IFERROR(CALCULOS!H37,"NECESSÁRIO REVISAR DATASHEET")</f>
        <v/>
      </c>
      <c r="AM4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2" s="64">
        <f>SUM(Tabela2[[#This Row],[Nota de Prioridade Quantitativa(NOTAS: 1 PIOR NOTA; 5 MELHOR NOTA)]],Tabela2[[#This Row],[Nota de Prioridade Qualitativa(NOTAS: 1 PIOR NOTA;  5 MELHOR NOTA)]])</f>
        <v/>
      </c>
      <c r="AO42" s="7" t="n">
        <v>151806</v>
      </c>
      <c r="AP42" s="64">
        <f>SUM(Tabela2[[#This Row],[Nota de Prioridade Quantitativa(NOTAS: 1 PIOR NOTA; 5 MELHOR NOTA)]],Tabela2[[#This Row],[Nota de Prioridade Qualitativa(NOTAS: 1 PIOR NOTA;  5 MELHOR NOTA)]])</f>
        <v/>
      </c>
      <c r="AQ42" s="7" t="n"/>
      <c r="AR42" s="64">
        <f>SUM(Tabela2[[#This Row],[Nota de Prioridade Quantitativa(NOTAS: 1 PIOR NOTA; 5 MELHOR NOTA)]],Tabela2[[#This Row],[Nota de Prioridade Qualitativa(NOTAS: 1 PIOR NOTA;  5 MELHOR NOTA)]])</f>
        <v/>
      </c>
      <c r="AS42" s="7" t="n"/>
      <c r="AZ42" s="20">
        <f t="array" ref="AZ42">StatusCarga(G42,H42,J42,K42)</f>
        <v/>
      </c>
      <c r="BA42" s="20">
        <f>IF(AZ42="CONFORME","CONFORME ✓","NÃO CONFORME ✗")</f>
        <v/>
      </c>
      <c r="BB42" t="n">
        <v>0</v>
      </c>
      <c r="BC42" t="n">
        <v>60</v>
      </c>
      <c r="BD42" t="n">
        <v>0</v>
      </c>
      <c r="BE42" t="n">
        <v>0</v>
      </c>
      <c r="BF42" t="inlineStr">
        <is>
          <t>CONFORME</t>
        </is>
      </c>
    </row>
    <row r="43" ht="21.75" customHeight="1" thickBot="1">
      <c r="A43" s="151" t="inlineStr">
        <is>
          <t>itabira</t>
        </is>
      </c>
      <c r="B43" s="77" t="inlineStr">
        <is>
          <t>CAUÊ</t>
        </is>
      </c>
      <c r="C43" s="61" t="inlineStr">
        <is>
          <t>CA70963</t>
        </is>
      </c>
      <c r="D43" s="80" t="inlineStr">
        <is>
          <t>AFEX</t>
        </is>
      </c>
      <c r="E43" s="78" t="inlineStr">
        <is>
          <t>CATERPILLAR</t>
        </is>
      </c>
      <c r="F43" s="80" t="inlineStr">
        <is>
          <t>CAT 793F</t>
        </is>
      </c>
      <c r="G43" s="81">
        <f>IFERROR(IF(F43=$AB$2,"",VLOOKUP(F43,'DATASHEET EQUIPAMENTOS'!D:N,2,FALSE)),"")</f>
        <v/>
      </c>
      <c r="H43" s="82" t="inlineStr">
        <is>
          <t>2x60lbs</t>
        </is>
      </c>
      <c r="I43" s="57">
        <f>_xlfn.XLOOKUP(Tabela2[[#This Row],[Modelo]],'DATASHEET EQUIPAMENTOS'!D:D,'DATASHEET EQUIPAMENTOS'!P:P,"",0,1)</f>
        <v/>
      </c>
      <c r="J43" s="81">
        <f>IF(F43=$Z$2,"",VLOOKUP(F43,'DATASHEET EQUIPAMENTOS'!D:N,3,FALSE))</f>
        <v/>
      </c>
      <c r="K43" s="85" t="inlineStr">
        <is>
          <t>2x5gal</t>
        </is>
      </c>
      <c r="L43" s="95">
        <f>IF(AZ43="CONFORME","CONFORME ✓","NÃO CONFORME ✗")</f>
        <v/>
      </c>
      <c r="M43" s="102">
        <f>IF(F43=$Z$2,"",VLOOKUP(F43,'DATASHEET EQUIPAMENTOS'!D:N,4,FALSE))</f>
        <v/>
      </c>
      <c r="N43" s="103" t="n">
        <v>6</v>
      </c>
      <c r="O43" s="102">
        <f>IF(F43=$Z$2,"",VLOOKUP(F43,'DATASHEET EQUIPAMENTOS'!D:N,5,FALSE))</f>
        <v/>
      </c>
      <c r="P43" s="103" t="n">
        <v>0</v>
      </c>
      <c r="Q43" s="102">
        <f>IF(F43=$Z$2,"",VLOOKUP(F43,'DATASHEET EQUIPAMENTOS'!D:N,6,FALSE))</f>
        <v/>
      </c>
      <c r="R43" s="104" t="n">
        <v>0</v>
      </c>
      <c r="S43" s="95">
        <f>IF(Tabela2[[#This Row],[Instalado Sensor Motor]]="Linear","CONFORME ✓",IF(SUM(M43,O43,Q43)&lt;SUM(N43,P43,R43),"CONFORME ✓",IF(SUM(M43,O43,Q43)=SUM(N43,P43,R43),"CONFORME ✓","NÃO CONFORME ✗")))</f>
        <v/>
      </c>
      <c r="T43" s="91">
        <f>IF(F43=$Z$2,"",VLOOKUP(F43,'DATASHEET EQUIPAMENTOS'!D:N,7,FALSE))</f>
        <v/>
      </c>
      <c r="U43" s="57" t="n">
        <v>18</v>
      </c>
      <c r="V43" s="56">
        <f>IF(F43=$Z$2,"",VLOOKUP(F43,'DATASHEET EQUIPAMENTOS'!D:N,8,FALSE))</f>
        <v/>
      </c>
      <c r="W43" s="62" t="n">
        <v>4</v>
      </c>
      <c r="X43" s="56">
        <f>IF(F43=$Z$2,"",VLOOKUP(F43,'DATASHEET EQUIPAMENTOS'!D:N,9,FALSE))</f>
        <v/>
      </c>
      <c r="Y43" s="62" t="n">
        <v>2</v>
      </c>
      <c r="Z43" s="57">
        <f>IF(SUM(T43,V43,X43)&lt;=SUM(U43,W43,Y43),"CONFORME ✓",IF(SUM(T43,V43,X43)&gt;SUM(U43,W43,Y43),"NÃO CONFORME ✗"))</f>
        <v/>
      </c>
      <c r="AA43" s="56">
        <f>IF(F43=$Z$2,"",VLOOKUP(F43,'DATASHEET EQUIPAMENTOS'!D:N,10,FALSE))</f>
        <v/>
      </c>
      <c r="AB43" s="57" t="n">
        <v>4</v>
      </c>
      <c r="AC43" s="56">
        <f>IF(F43=$Z$2,"",VLOOKUP(F43,'DATASHEET EQUIPAMENTOS'!D:N,11,FALSE))</f>
        <v/>
      </c>
      <c r="AD43" s="57" t="n">
        <v>0</v>
      </c>
      <c r="AE43" s="56">
        <f>IF(F43=$Z$2,"",VLOOKUP(F43,'DATASHEET EQUIPAMENTOS'!D:O,12,FALSE))</f>
        <v/>
      </c>
      <c r="AF43" s="57" t="n">
        <v>0</v>
      </c>
      <c r="AG43" s="57">
        <f>IF(SUM(AA43,AC43,AE43)&lt;=SUM(AB43,AD43,AF43),"CONFORME ✓",IF(SUM(AA43,AC43,AE43)&gt;SUM(AB43,AD43,AF43),"NÃO CONFORME ✗"))</f>
        <v/>
      </c>
      <c r="AH43" s="72" t="n">
        <v>4</v>
      </c>
      <c r="AI43" s="72" t="n">
        <v>3</v>
      </c>
      <c r="AJ43" s="72" t="n">
        <v>3.5</v>
      </c>
      <c r="AK43" s="7" t="inlineStr">
        <is>
          <t xml:space="preserve"> Repocisionar atuador e painel da cabine, pois esta montado fora da visão do operador; reposicionar mangueiras do agente extintor liquido</t>
        </is>
      </c>
      <c r="AL43" s="58">
        <f>IFERROR(CALCULOS!H38,"NECESSÁRIO REVISAR DATASHEET")</f>
        <v/>
      </c>
      <c r="AM4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3" s="64">
        <f>SUM(Tabela2[[#This Row],[Nota de Prioridade Quantitativa(NOTAS: 1 PIOR NOTA; 5 MELHOR NOTA)]],Tabela2[[#This Row],[Nota de Prioridade Qualitativa(NOTAS: 1 PIOR NOTA;  5 MELHOR NOTA)]])</f>
        <v/>
      </c>
      <c r="AO43" s="7" t="n">
        <v>152097</v>
      </c>
      <c r="AP43" s="64">
        <f>SUM(Tabela2[[#This Row],[Nota de Prioridade Quantitativa(NOTAS: 1 PIOR NOTA; 5 MELHOR NOTA)]],Tabela2[[#This Row],[Nota de Prioridade Qualitativa(NOTAS: 1 PIOR NOTA;  5 MELHOR NOTA)]])</f>
        <v/>
      </c>
      <c r="AQ43" s="7" t="n"/>
      <c r="AR43" s="64">
        <f>SUM(Tabela2[[#This Row],[Nota de Prioridade Quantitativa(NOTAS: 1 PIOR NOTA; 5 MELHOR NOTA)]],Tabela2[[#This Row],[Nota de Prioridade Qualitativa(NOTAS: 1 PIOR NOTA;  5 MELHOR NOTA)]])</f>
        <v/>
      </c>
      <c r="AS43" s="7" t="n"/>
      <c r="AZ43" s="20">
        <f t="array" ref="AZ43">StatusCarga(G43,H43,J43,K43)</f>
        <v/>
      </c>
      <c r="BA43" s="20">
        <f>IF(AZ43="CONFORME","CONFORME ✓","NÃO CONFORME ✗")</f>
        <v/>
      </c>
      <c r="BB43" t="n">
        <v>0</v>
      </c>
      <c r="BC43" t="n">
        <v>120</v>
      </c>
      <c r="BD43" t="n">
        <v>0</v>
      </c>
      <c r="BE43" t="n">
        <v>10</v>
      </c>
      <c r="BF43" t="inlineStr">
        <is>
          <t>CONFORME</t>
        </is>
      </c>
    </row>
    <row r="44" hidden="1" ht="21.75" customHeight="1" thickBot="1">
      <c r="A44" s="77" t="inlineStr">
        <is>
          <t>Paraoupeba</t>
        </is>
      </c>
      <c r="B44" s="77" t="inlineStr">
        <is>
          <t>Fábrica</t>
        </is>
      </c>
      <c r="C44" s="80" t="inlineStr">
        <is>
          <t>MN1110</t>
        </is>
      </c>
      <c r="D44" s="80" t="inlineStr">
        <is>
          <t>KIDDE</t>
        </is>
      </c>
      <c r="E44" s="78" t="inlineStr">
        <is>
          <t>CATERPILLAR</t>
        </is>
      </c>
      <c r="F44" s="80" t="inlineStr">
        <is>
          <t>cat 140M</t>
        </is>
      </c>
      <c r="G44" s="81">
        <f>IFERROR(IF(F44=$AB$2,"",VLOOKUP(F44,'DATASHEET EQUIPAMENTOS'!D:N,2,FALSE)),"")</f>
        <v/>
      </c>
      <c r="H44" s="82" t="inlineStr">
        <is>
          <t>1x50lbs</t>
        </is>
      </c>
      <c r="I44" s="57" t="inlineStr">
        <is>
          <t>sim</t>
        </is>
      </c>
      <c r="J44" s="81">
        <f>IF(F44=$Z$2,"",VLOOKUP(F44,'DATASHEET EQUIPAMENTOS'!D:N,3,FALSE))</f>
        <v/>
      </c>
      <c r="K44" s="85" t="inlineStr">
        <is>
          <t>1x5gal</t>
        </is>
      </c>
      <c r="L44" s="95">
        <f>IF(AZ44="CONFORME","CONFORME ✓","NÃO CONFORME ✗")</f>
        <v/>
      </c>
      <c r="M44" s="102">
        <f>IF(F44=$Z$2,"",VLOOKUP(F44,'DATASHEET EQUIPAMENTOS'!D:N,4,FALSE))</f>
        <v/>
      </c>
      <c r="N44" s="103" t="inlineStr">
        <is>
          <t>Linear</t>
        </is>
      </c>
      <c r="O44" s="102">
        <f>IF(F44=$Z$2,"",VLOOKUP(F44,'DATASHEET EQUIPAMENTOS'!D:N,5,FALSE))</f>
        <v/>
      </c>
      <c r="P44" s="103" t="inlineStr">
        <is>
          <t>Linear</t>
        </is>
      </c>
      <c r="Q44" s="102">
        <f>IF(F44=$Z$2,"",VLOOKUP(F44,'DATASHEET EQUIPAMENTOS'!D:N,6,FALSE))</f>
        <v/>
      </c>
      <c r="R44" s="104" t="inlineStr">
        <is>
          <t>Linear</t>
        </is>
      </c>
      <c r="S44" s="95">
        <f>IF(Tabela2[[#This Row],[Instalado Sensor Motor]]="Linear","CONFORME ✓",IF(SUM(M44,O44,Q44)&lt;SUM(N44,P44,R44),"CONFORME ✓",IF(SUM(M44,O44,Q44)=SUM(N44,P44,R44),"CONFORME ✓","NÃO CONFORME ✗")))</f>
        <v/>
      </c>
      <c r="T44" s="91">
        <f>IF(F44=$Z$2,"",VLOOKUP(F44,'DATASHEET EQUIPAMENTOS'!D:N,7,FALSE))</f>
        <v/>
      </c>
      <c r="U44" s="57" t="n">
        <v>5</v>
      </c>
      <c r="V44" s="56">
        <f>IF(F44=$Z$2,"",VLOOKUP(F44,'DATASHEET EQUIPAMENTOS'!D:N,8,FALSE))</f>
        <v/>
      </c>
      <c r="W44" s="57" t="n"/>
      <c r="X44" s="56">
        <f>IF(F44=$Z$2,"",VLOOKUP(F44,'DATASHEET EQUIPAMENTOS'!D:N,9,FALSE))</f>
        <v/>
      </c>
      <c r="Y44" s="57" t="n">
        <v>2</v>
      </c>
      <c r="Z44" s="57">
        <f>IF(SUM(T44,V44,X44)&lt;=SUM(U44,W44,Y44),"CONFORME ✓",IF(SUM(T44,V44,X44)&gt;SUM(U44,W44,Y44),"NÃO CONFORME ✗"))</f>
        <v/>
      </c>
      <c r="AA44" s="56">
        <f>IF(F44=$Z$2,"",VLOOKUP(F44,'DATASHEET EQUIPAMENTOS'!D:N,10,FALSE))</f>
        <v/>
      </c>
      <c r="AB44" s="57" t="n">
        <v>4</v>
      </c>
      <c r="AC44" s="56">
        <f>IF(F44=$Z$2,"",VLOOKUP(F44,'DATASHEET EQUIPAMENTOS'!D:N,11,FALSE))</f>
        <v/>
      </c>
      <c r="AD44" s="57" t="n"/>
      <c r="AE44" s="56">
        <f>IF(F44=$Z$2,"",VLOOKUP(F44,'DATASHEET EQUIPAMENTOS'!D:O,12,FALSE))</f>
        <v/>
      </c>
      <c r="AF44" s="57" t="n"/>
      <c r="AG44" s="57">
        <f>IF(SUM(AA44,AC44,AE44)&lt;=SUM(AB44,AD44,AF44),"CONFORME ✓",IF(SUM(AA44,AC44,AE44)&gt;SUM(AB44,AD44,AF44),"NÃO CONFORME ✗"))</f>
        <v/>
      </c>
      <c r="AH44" s="72" t="n">
        <v>2</v>
      </c>
      <c r="AI44" s="72" t="n">
        <v>1</v>
      </c>
      <c r="AJ44" s="72" t="n">
        <v>1</v>
      </c>
      <c r="AK44" s="7" t="inlineStr">
        <is>
          <t>REPOSICIONAR PAINEL E ATUADOR DA CABINE; É NECESSÁRIO REALIZAR ADEQUAÇÃO DOS CABO LINEAR, BICOS E MANGUEIRAS DE DISTRIBUIÇÃO DO AGENTE PQS</t>
        </is>
      </c>
      <c r="AL44" s="58">
        <f>IFERROR(CALCULOS!H39,"NECESSÁRIO REVISAR DATASHEET")</f>
        <v/>
      </c>
      <c r="AM4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4" s="64">
        <f>SUM(Tabela2[[#This Row],[Nota de Prioridade Quantitativa(NOTAS: 1 PIOR NOTA; 5 MELHOR NOTA)]],Tabela2[[#This Row],[Nota de Prioridade Qualitativa(NOTAS: 1 PIOR NOTA;  5 MELHOR NOTA)]])</f>
        <v/>
      </c>
      <c r="AO44" s="7" t="n">
        <v>150999</v>
      </c>
      <c r="AP44" s="64">
        <f>SUM(Tabela2[[#This Row],[Nota de Prioridade Quantitativa(NOTAS: 1 PIOR NOTA; 5 MELHOR NOTA)]],Tabela2[[#This Row],[Nota de Prioridade Qualitativa(NOTAS: 1 PIOR NOTA;  5 MELHOR NOTA)]])</f>
        <v/>
      </c>
      <c r="AQ44" s="7" t="n"/>
      <c r="AR44" s="64">
        <f>SUM(Tabela2[[#This Row],[Nota de Prioridade Quantitativa(NOTAS: 1 PIOR NOTA; 5 MELHOR NOTA)]],Tabela2[[#This Row],[Nota de Prioridade Qualitativa(NOTAS: 1 PIOR NOTA;  5 MELHOR NOTA)]])</f>
        <v/>
      </c>
      <c r="AS44" s="7" t="n"/>
      <c r="AZ44" s="20">
        <f t="array" ref="AZ44">StatusCarga(G44,H44,J44,K44)</f>
        <v/>
      </c>
      <c r="BA44" s="20">
        <f>IF(AZ44="CONFORME","CONFORME ✓","NÃO CONFORME ✗")</f>
        <v/>
      </c>
      <c r="BB44" t="n">
        <v>0</v>
      </c>
      <c r="BC44" t="n">
        <v>50</v>
      </c>
      <c r="BD44" t="n">
        <v>0</v>
      </c>
      <c r="BE44" t="n">
        <v>5</v>
      </c>
      <c r="BF44" t="inlineStr">
        <is>
          <t>CONFORME</t>
        </is>
      </c>
    </row>
    <row r="45" hidden="1" ht="21.75" customHeight="1" thickBot="1">
      <c r="A45" s="77" t="inlineStr">
        <is>
          <t>Paraoupeba</t>
        </is>
      </c>
      <c r="B45" s="77" t="inlineStr">
        <is>
          <t>Viga</t>
        </is>
      </c>
      <c r="C45" s="80" t="inlineStr">
        <is>
          <t>MN1159</t>
        </is>
      </c>
      <c r="D45" s="80" t="inlineStr">
        <is>
          <t>AFEX</t>
        </is>
      </c>
      <c r="E45" s="78" t="inlineStr">
        <is>
          <t>CATERPILLAR</t>
        </is>
      </c>
      <c r="F45" s="80" t="inlineStr">
        <is>
          <t>cat 16M</t>
        </is>
      </c>
      <c r="G45" s="81">
        <f>IFERROR(IF(F45=$AB$2,"",VLOOKUP(F45,'DATASHEET EQUIPAMENTOS'!D:N,2,FALSE)),"")</f>
        <v/>
      </c>
      <c r="H45" s="82" t="inlineStr">
        <is>
          <t>1x60lbs</t>
        </is>
      </c>
      <c r="I45" s="57">
        <f>_xlfn.XLOOKUP(Tabela2[[#This Row],[Modelo]],'DATASHEET EQUIPAMENTOS'!D:D,'DATASHEET EQUIPAMENTOS'!P:P,"",0,1)</f>
        <v/>
      </c>
      <c r="J45" s="81">
        <f>IF(F45=$Z$2,"",VLOOKUP(F45,'DATASHEET EQUIPAMENTOS'!D:N,3,FALSE))</f>
        <v/>
      </c>
      <c r="K45" s="85" t="n">
        <v>0</v>
      </c>
      <c r="L45" s="95">
        <f>IF(AZ45="CONFORME","CONFORME ✓","NÃO CONFORME ✗")</f>
        <v/>
      </c>
      <c r="M45" s="102">
        <f>IF(F45=$Z$2,"",VLOOKUP(F45,'DATASHEET EQUIPAMENTOS'!D:N,4,FALSE))</f>
        <v/>
      </c>
      <c r="N45" s="103" t="n">
        <v>4</v>
      </c>
      <c r="O45" s="102">
        <f>IF(F45=$Z$2,"",VLOOKUP(F45,'DATASHEET EQUIPAMENTOS'!D:N,5,FALSE))</f>
        <v/>
      </c>
      <c r="P45" s="103" t="n"/>
      <c r="Q45" s="102">
        <f>IF(F45=$Z$2,"",VLOOKUP(F45,'DATASHEET EQUIPAMENTOS'!D:N,6,FALSE))</f>
        <v/>
      </c>
      <c r="R45" s="104" t="n">
        <v>1</v>
      </c>
      <c r="S45" s="95">
        <f>IF(Tabela2[[#This Row],[Instalado Sensor Motor]]="Linear","CONFORME ✓",IF(SUM(M45,O45,Q45)&lt;SUM(N45,P45,R45),"CONFORME ✓",IF(SUM(M45,O45,Q45)=SUM(N45,P45,R45),"CONFORME ✓","NÃO CONFORME ✗")))</f>
        <v/>
      </c>
      <c r="T45" s="91">
        <f>IF(F45=$Z$2,"",VLOOKUP(F45,'DATASHEET EQUIPAMENTOS'!D:N,7,FALSE))</f>
        <v/>
      </c>
      <c r="U45" s="57" t="n">
        <v>11</v>
      </c>
      <c r="V45" s="56">
        <f>IF(F45=$Z$2,"",VLOOKUP(F45,'DATASHEET EQUIPAMENTOS'!D:N,8,FALSE))</f>
        <v/>
      </c>
      <c r="W45" s="57" t="n"/>
      <c r="X45" s="56">
        <f>IF(F45=$Z$2,"",VLOOKUP(F45,'DATASHEET EQUIPAMENTOS'!D:N,9,FALSE))</f>
        <v/>
      </c>
      <c r="Y45" s="57" t="n">
        <v>1</v>
      </c>
      <c r="Z45" s="57">
        <f>IF(SUM(T45,V45,X45)&lt;=SUM(U45,W45,Y45),"CONFORME ✓",IF(SUM(T45,V45,X45)&gt;SUM(U45,W45,Y45),"NÃO CONFORME ✗"))</f>
        <v/>
      </c>
      <c r="AA45" s="56">
        <f>IF(F45=$Z$2,"",VLOOKUP(F45,'DATASHEET EQUIPAMENTOS'!D:N,10,FALSE))</f>
        <v/>
      </c>
      <c r="AB45" s="57" t="n"/>
      <c r="AC45" s="56">
        <f>IF(F45=$Z$2,"",VLOOKUP(F45,'DATASHEET EQUIPAMENTOS'!D:N,11,FALSE))</f>
        <v/>
      </c>
      <c r="AD45" s="57" t="n"/>
      <c r="AE45" s="56">
        <f>IF(F45=$Z$2,"",VLOOKUP(F45,'DATASHEET EQUIPAMENTOS'!D:O,12,FALSE))</f>
        <v/>
      </c>
      <c r="AF45" s="57" t="n"/>
      <c r="AG45" s="57">
        <f>IF(SUM(AA45,AC45,AE45)&lt;=SUM(AB45,AD45,AF45),"CONFORME ✓",IF(SUM(AA45,AC45,AE45)&gt;SUM(AB45,AD45,AF45),"NÃO CONFORME ✗"))</f>
        <v/>
      </c>
      <c r="AH45" s="72" t="n"/>
      <c r="AI45" s="72" t="n"/>
      <c r="AJ45" s="72" t="n"/>
      <c r="AK45" s="7" t="inlineStr">
        <is>
          <t>DURANTE INSPEÇÃO FOI INDENTIFICADO QUE A TRANSMISSÃO DO EQUIPAMENTO ESTA SEM MONITORAMENTO POR SENSORES.</t>
        </is>
      </c>
      <c r="AL45" s="58">
        <f>IFERROR(CALCULOS!H40,"NECESSÁRIO REVISAR DATASHEET")</f>
        <v/>
      </c>
      <c r="AM4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5" s="64">
        <f>SUM(Tabela2[[#This Row],[Nota de Prioridade Quantitativa(NOTAS: 1 PIOR NOTA; 5 MELHOR NOTA)]],Tabela2[[#This Row],[Nota de Prioridade Qualitativa(NOTAS: 1 PIOR NOTA;  5 MELHOR NOTA)]])</f>
        <v/>
      </c>
      <c r="AO45" s="7" t="n">
        <v>151538</v>
      </c>
      <c r="AP45" s="64">
        <f>SUM(Tabela2[[#This Row],[Nota de Prioridade Quantitativa(NOTAS: 1 PIOR NOTA; 5 MELHOR NOTA)]],Tabela2[[#This Row],[Nota de Prioridade Qualitativa(NOTAS: 1 PIOR NOTA;  5 MELHOR NOTA)]])</f>
        <v/>
      </c>
      <c r="AQ45" s="7" t="n"/>
      <c r="AR45" s="64">
        <f>SUM(Tabela2[[#This Row],[Nota de Prioridade Quantitativa(NOTAS: 1 PIOR NOTA; 5 MELHOR NOTA)]],Tabela2[[#This Row],[Nota de Prioridade Qualitativa(NOTAS: 1 PIOR NOTA;  5 MELHOR NOTA)]])</f>
        <v/>
      </c>
      <c r="AS45" s="7" t="n"/>
      <c r="AZ45" s="20">
        <f t="array" ref="AZ45">StatusCarga(G45,H45,J45,K45)</f>
        <v/>
      </c>
      <c r="BA45" s="20">
        <f>IF(AZ45="CONFORME","CONFORME ✓","NÃO CONFORME ✗")</f>
        <v/>
      </c>
      <c r="BB45" t="n">
        <v>0</v>
      </c>
      <c r="BC45" t="n">
        <v>60</v>
      </c>
      <c r="BD45" t="n">
        <v>0</v>
      </c>
      <c r="BE45" t="n">
        <v>0</v>
      </c>
      <c r="BF45" t="inlineStr">
        <is>
          <t>CONFORME</t>
        </is>
      </c>
    </row>
    <row r="46" hidden="1" ht="21.75" customHeight="1" thickBot="1">
      <c r="A46" s="77" t="inlineStr">
        <is>
          <t>Paraoupeba</t>
        </is>
      </c>
      <c r="B46" s="77" t="inlineStr">
        <is>
          <t>Horizontes</t>
        </is>
      </c>
      <c r="C46" s="80" t="inlineStr">
        <is>
          <t>CA5327</t>
        </is>
      </c>
      <c r="D46" s="80" t="inlineStr">
        <is>
          <t>AFEX</t>
        </is>
      </c>
      <c r="E46" s="78" t="inlineStr">
        <is>
          <t>CATERPILLAR</t>
        </is>
      </c>
      <c r="F46" s="80" t="inlineStr">
        <is>
          <t>CAT 777G</t>
        </is>
      </c>
      <c r="G46" s="81">
        <f>IFERROR(IF(F46=$AB$2,"",VLOOKUP(F46,'DATASHEET EQUIPAMENTOS'!D:N,2,FALSE)),"")</f>
        <v/>
      </c>
      <c r="H46" s="82" t="inlineStr">
        <is>
          <t>3x30lbs</t>
        </is>
      </c>
      <c r="I46" s="57">
        <f>_xlfn.XLOOKUP(Tabela2[[#This Row],[Modelo]],'DATASHEET EQUIPAMENTOS'!D:D,'DATASHEET EQUIPAMENTOS'!P:P,"",0,1)</f>
        <v/>
      </c>
      <c r="J46" s="81">
        <f>IF(F46=$Z$2,"",VLOOKUP(F46,'DATASHEET EQUIPAMENTOS'!D:N,3,FALSE))</f>
        <v/>
      </c>
      <c r="K46" s="85" t="n">
        <v>0</v>
      </c>
      <c r="L46" s="95">
        <f>IF(AZ46="CONFORME","CONFORME ✓","NÃO CONFORME ✗")</f>
        <v/>
      </c>
      <c r="M46" s="119">
        <f>IF(F46=$Z$2,"",VLOOKUP(F46,'DATASHEET EQUIPAMENTOS'!D:N,4,FALSE))</f>
        <v/>
      </c>
      <c r="N46" s="99" t="n">
        <v>5</v>
      </c>
      <c r="O46" s="97">
        <f>IF(F46=$Z$2,"",VLOOKUP(F46,'DATASHEET EQUIPAMENTOS'!D:N,5,FALSE))</f>
        <v/>
      </c>
      <c r="P46" s="99" t="n">
        <v>2</v>
      </c>
      <c r="Q46" s="97">
        <f>IF(F46=$Z$2,"",VLOOKUP(F46,'DATASHEET EQUIPAMENTOS'!D:N,6,FALSE))</f>
        <v/>
      </c>
      <c r="R46" s="99" t="n">
        <v>1</v>
      </c>
      <c r="S46" s="100">
        <f>IF(Tabela2[[#This Row],[Instalado Sensor Motor]]="Linear","CONFORME ✓",IF(SUM(M46,O46,Q46)&lt;SUM(N46,P46,R46),"CONFORME ✓",IF(SUM(M46,O46,Q46)=SUM(N46,P46,R46),"CONFORME ✓","NÃO CONFORME ✗")))</f>
        <v/>
      </c>
      <c r="T46" s="91">
        <f>IF(F46=$Z$2,"",VLOOKUP(F46,'DATASHEET EQUIPAMENTOS'!D:N,7,FALSE))</f>
        <v/>
      </c>
      <c r="U46" s="57" t="n">
        <v>12</v>
      </c>
      <c r="V46" s="56">
        <f>IF(F46=$Z$2,"",VLOOKUP(F46,'DATASHEET EQUIPAMENTOS'!D:N,8,FALSE))</f>
        <v/>
      </c>
      <c r="W46" s="62" t="n">
        <v>3</v>
      </c>
      <c r="X46" s="56">
        <f>IF(F46=$Z$2,"",VLOOKUP(F46,'DATASHEET EQUIPAMENTOS'!D:N,9,FALSE))</f>
        <v/>
      </c>
      <c r="Y46" s="62" t="n">
        <v>3</v>
      </c>
      <c r="Z46" s="57">
        <f>IF(SUM(T46,V46,X46)&lt;=SUM(U46,W46,Y46),"CONFORME ✓",IF(SUM(T46,V46,X46)&gt;SUM(U46,W46,Y46),"NÃO CONFORME ✗"))</f>
        <v/>
      </c>
      <c r="AA46" s="56">
        <f>IF(F46=$Z$2,"",VLOOKUP(F46,'DATASHEET EQUIPAMENTOS'!D:N,10,FALSE))</f>
        <v/>
      </c>
      <c r="AB46" s="57" t="n">
        <v>0</v>
      </c>
      <c r="AC46" s="56">
        <f>IF(F46=$Z$2,"",VLOOKUP(F46,'DATASHEET EQUIPAMENTOS'!D:N,11,FALSE))</f>
        <v/>
      </c>
      <c r="AD46" s="57" t="n">
        <v>0</v>
      </c>
      <c r="AE46" s="56">
        <f>IF(F46=$Z$2,"",VLOOKUP(F46,'DATASHEET EQUIPAMENTOS'!D:O,12,FALSE))</f>
        <v/>
      </c>
      <c r="AF46" s="57" t="n">
        <v>0</v>
      </c>
      <c r="AG46" s="57">
        <f>IF(SUM(AA46,AC46,AE46)&lt;=SUM(AB46,AD46,AF46),"CONFORME ✓",IF(SUM(AA46,AC46,AE46)&gt;SUM(AB46,AD46,AF46),"NÃO CONFORME ✗"))</f>
        <v/>
      </c>
      <c r="AH46" s="72" t="n">
        <v>4.5</v>
      </c>
      <c r="AI46" s="72" t="n">
        <v>4</v>
      </c>
      <c r="AJ46" s="72" t="n">
        <v>5</v>
      </c>
      <c r="AK46" s="7" t="inlineStr">
        <is>
          <t>O EQUIPAMENTO NAO POSSUI CILINDRO DE AGENTE LÍQUIDO, REALIZAR PEQUENAS ADEQUAÇÕES NAS MANGUEIRAS</t>
        </is>
      </c>
      <c r="AL46" s="58">
        <f>IFERROR(CALCULOS!H41,"NECESSÁRIO REVISAR DATASHEET")</f>
        <v/>
      </c>
      <c r="AM4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6" s="64">
        <f>SUM(Tabela2[[#This Row],[Nota de Prioridade Quantitativa(NOTAS: 1 PIOR NOTA; 5 MELHOR NOTA)]],Tabela2[[#This Row],[Nota de Prioridade Qualitativa(NOTAS: 1 PIOR NOTA;  5 MELHOR NOTA)]])</f>
        <v/>
      </c>
      <c r="AO46" s="7" t="n">
        <v>150215</v>
      </c>
      <c r="AP46" s="64">
        <f>SUM(Tabela2[[#This Row],[Nota de Prioridade Quantitativa(NOTAS: 1 PIOR NOTA; 5 MELHOR NOTA)]],Tabela2[[#This Row],[Nota de Prioridade Qualitativa(NOTAS: 1 PIOR NOTA;  5 MELHOR NOTA)]])</f>
        <v/>
      </c>
      <c r="AQ46" s="7" t="n"/>
      <c r="AR46" s="64">
        <f>SUM(Tabela2[[#This Row],[Nota de Prioridade Quantitativa(NOTAS: 1 PIOR NOTA; 5 MELHOR NOTA)]],Tabela2[[#This Row],[Nota de Prioridade Qualitativa(NOTAS: 1 PIOR NOTA;  5 MELHOR NOTA)]])</f>
        <v/>
      </c>
      <c r="AS46" s="7" t="n"/>
      <c r="AZ46" s="20">
        <f t="array" ref="AZ46">StatusCarga(G46,H46,J46,K46)</f>
        <v/>
      </c>
      <c r="BA46" s="20">
        <f>IF(AZ46="CONFORME","CONFORME ✓","NÃO CONFORME ✗")</f>
        <v/>
      </c>
      <c r="BB46" t="n">
        <v>0</v>
      </c>
      <c r="BC46" t="n">
        <v>90</v>
      </c>
      <c r="BD46" t="n">
        <v>0</v>
      </c>
      <c r="BE46" t="n">
        <v>0</v>
      </c>
      <c r="BF46" t="inlineStr">
        <is>
          <t>CONFORME</t>
        </is>
      </c>
    </row>
    <row r="47" ht="21.75" customHeight="1" thickBot="1">
      <c r="A47" s="151" t="inlineStr">
        <is>
          <t>itabira</t>
        </is>
      </c>
      <c r="B47" s="77" t="inlineStr">
        <is>
          <t>Cauê</t>
        </is>
      </c>
      <c r="C47" s="61" t="inlineStr">
        <is>
          <t>CA70966</t>
        </is>
      </c>
      <c r="D47" s="80" t="inlineStr">
        <is>
          <t>AFEX</t>
        </is>
      </c>
      <c r="E47" s="78" t="inlineStr">
        <is>
          <t>CATERPILLAR</t>
        </is>
      </c>
      <c r="F47" s="80" t="inlineStr">
        <is>
          <t>CAT 793F</t>
        </is>
      </c>
      <c r="G47" s="81">
        <f>IFERROR(IF(F47=$AB$2,"",VLOOKUP(F47,'DATASHEET EQUIPAMENTOS'!D:N,2,FALSE)),"")</f>
        <v/>
      </c>
      <c r="H47" s="82" t="inlineStr">
        <is>
          <t>2x60lbs</t>
        </is>
      </c>
      <c r="I47" s="57">
        <f>_xlfn.XLOOKUP(Tabela2[[#This Row],[Modelo]],'DATASHEET EQUIPAMENTOS'!D:D,'DATASHEET EQUIPAMENTOS'!P:P,"",0,1)</f>
        <v/>
      </c>
      <c r="J47" s="81">
        <f>IF(F47=$Z$2,"",VLOOKUP(F47,'DATASHEET EQUIPAMENTOS'!D:N,3,FALSE))</f>
        <v/>
      </c>
      <c r="K47" s="85" t="inlineStr">
        <is>
          <t>2x5gal</t>
        </is>
      </c>
      <c r="L47" s="95">
        <f>IF(AZ47="CONFORME","CONFORME ✓","NÃO CONFORME ✗")</f>
        <v/>
      </c>
      <c r="M47" s="102">
        <f>IF(F47=$Z$2,"",VLOOKUP(F47,'DATASHEET EQUIPAMENTOS'!D:N,4,FALSE))</f>
        <v/>
      </c>
      <c r="N47" s="103" t="n">
        <v>5</v>
      </c>
      <c r="O47" s="102">
        <f>IF(F47=$Z$2,"",VLOOKUP(F47,'DATASHEET EQUIPAMENTOS'!D:N,5,FALSE))</f>
        <v/>
      </c>
      <c r="P47" s="103" t="n"/>
      <c r="Q47" s="102">
        <f>IF(F47=$Z$2,"",VLOOKUP(F47,'DATASHEET EQUIPAMENTOS'!D:N,6,FALSE))</f>
        <v/>
      </c>
      <c r="R47" s="104" t="n"/>
      <c r="S47" s="95">
        <f>IF(Tabela2[[#This Row],[Instalado Sensor Motor]]="Linear","CONFORME ✓",IF(SUM(M47,O47,Q47)&lt;SUM(N47,P47,R47),"CONFORME ✓",IF(SUM(M47,O47,Q47)=SUM(N47,P47,R47),"CONFORME ✓","NÃO CONFORME ✗")))</f>
        <v/>
      </c>
      <c r="T47" s="91">
        <f>IF(F47=$Z$2,"",VLOOKUP(F47,'DATASHEET EQUIPAMENTOS'!D:N,7,FALSE))</f>
        <v/>
      </c>
      <c r="U47" s="57" t="n">
        <v>18</v>
      </c>
      <c r="V47" s="56">
        <f>IF(F47=$Z$2,"",VLOOKUP(F47,'DATASHEET EQUIPAMENTOS'!D:N,8,FALSE))</f>
        <v/>
      </c>
      <c r="W47" s="62" t="n">
        <v>4</v>
      </c>
      <c r="X47" s="56">
        <f>IF(F47=$Z$2,"",VLOOKUP(F47,'DATASHEET EQUIPAMENTOS'!D:N,9,FALSE))</f>
        <v/>
      </c>
      <c r="Y47" s="62" t="n">
        <v>2</v>
      </c>
      <c r="Z47" s="57">
        <f>IF(SUM(T47,V47,X47)&lt;=SUM(U47,W47,Y47),"CONFORME ✓",IF(SUM(T47,V47,X47)&gt;SUM(U47,W47,Y47),"NÃO CONFORME ✗"))</f>
        <v/>
      </c>
      <c r="AA47" s="56">
        <f>IF(F47=$Z$2,"",VLOOKUP(F47,'DATASHEET EQUIPAMENTOS'!D:N,10,FALSE))</f>
        <v/>
      </c>
      <c r="AB47" s="57" t="n">
        <v>8</v>
      </c>
      <c r="AC47" s="56">
        <f>IF(F47=$Z$2,"",VLOOKUP(F47,'DATASHEET EQUIPAMENTOS'!D:N,11,FALSE))</f>
        <v/>
      </c>
      <c r="AD47" s="57" t="n">
        <v>0</v>
      </c>
      <c r="AE47" s="56">
        <f>IF(F47=$Z$2,"",VLOOKUP(F47,'DATASHEET EQUIPAMENTOS'!D:O,12,FALSE))</f>
        <v/>
      </c>
      <c r="AF47" s="57" t="n">
        <v>0</v>
      </c>
      <c r="AG47" s="57">
        <f>IF(SUM(AA47,AC47,AE47)&lt;=SUM(AB47,AD47,AF47),"CONFORME ✓",IF(SUM(AA47,AC47,AE47)&gt;SUM(AB47,AD47,AF47),"NÃO CONFORME ✗"))</f>
        <v/>
      </c>
      <c r="AH47" s="72" t="n">
        <v>4</v>
      </c>
      <c r="AI47" s="72" t="n">
        <v>4</v>
      </c>
      <c r="AJ47" s="72" t="n">
        <v>3.5</v>
      </c>
      <c r="AK47" s="7" t="inlineStr">
        <is>
          <t xml:space="preserve"> Repocisionar atuador e painel da cabine, </t>
        </is>
      </c>
      <c r="AL47" s="58">
        <f>IFERROR(CALCULOS!H42,"NECESSÁRIO REVISAR DATASHEET")</f>
        <v/>
      </c>
      <c r="AM4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7" s="64">
        <f>SUM(Tabela2[[#This Row],[Nota de Prioridade Quantitativa(NOTAS: 1 PIOR NOTA; 5 MELHOR NOTA)]],Tabela2[[#This Row],[Nota de Prioridade Qualitativa(NOTAS: 1 PIOR NOTA;  5 MELHOR NOTA)]])</f>
        <v/>
      </c>
      <c r="AO47" s="7" t="n">
        <v>152870</v>
      </c>
      <c r="AP47" s="64">
        <f>SUM(Tabela2[[#This Row],[Nota de Prioridade Quantitativa(NOTAS: 1 PIOR NOTA; 5 MELHOR NOTA)]],Tabela2[[#This Row],[Nota de Prioridade Qualitativa(NOTAS: 1 PIOR NOTA;  5 MELHOR NOTA)]])</f>
        <v/>
      </c>
      <c r="AQ47" s="7" t="n"/>
      <c r="AR47" s="64">
        <f>SUM(Tabela2[[#This Row],[Nota de Prioridade Quantitativa(NOTAS: 1 PIOR NOTA; 5 MELHOR NOTA)]],Tabela2[[#This Row],[Nota de Prioridade Qualitativa(NOTAS: 1 PIOR NOTA;  5 MELHOR NOTA)]])</f>
        <v/>
      </c>
      <c r="AS47" s="7" t="n"/>
      <c r="AZ47" s="20">
        <f t="array" ref="AZ47">StatusCarga(G47,H47,J47,K47)</f>
        <v/>
      </c>
      <c r="BA47" s="20">
        <f>IF(AZ47="CONFORME","CONFORME ✓","NÃO CONFORME ✗")</f>
        <v/>
      </c>
      <c r="BB47" t="n">
        <v>0</v>
      </c>
      <c r="BC47" t="n">
        <v>120</v>
      </c>
      <c r="BD47" t="n">
        <v>0</v>
      </c>
      <c r="BE47" t="n">
        <v>10</v>
      </c>
      <c r="BF47" t="inlineStr">
        <is>
          <t>CONFORME</t>
        </is>
      </c>
    </row>
    <row r="48" hidden="1" ht="21.75" customHeight="1" thickBot="1">
      <c r="A48" s="77" t="inlineStr">
        <is>
          <t>Paraoupeba</t>
        </is>
      </c>
      <c r="B48" s="77" t="inlineStr">
        <is>
          <t>Mar azul</t>
        </is>
      </c>
      <c r="C48" s="80" t="inlineStr">
        <is>
          <t>MN1805</t>
        </is>
      </c>
      <c r="D48" s="80" t="inlineStr">
        <is>
          <t>AFEX</t>
        </is>
      </c>
      <c r="E48" s="78" t="inlineStr">
        <is>
          <t>CATERPILLAR</t>
        </is>
      </c>
      <c r="F48" s="80" t="inlineStr">
        <is>
          <t>CAT 18</t>
        </is>
      </c>
      <c r="G48" s="81">
        <f>IFERROR(IF(F48=$AB$2,"",VLOOKUP(F48,'DATASHEET EQUIPAMENTOS'!D:N,2,FALSE)),"")</f>
        <v/>
      </c>
      <c r="H48" s="82" t="inlineStr">
        <is>
          <t>1x60lbs</t>
        </is>
      </c>
      <c r="I48" s="57">
        <f>_xlfn.XLOOKUP(Tabela2[[#This Row],[Modelo]],'DATASHEET EQUIPAMENTOS'!D:D,'DATASHEET EQUIPAMENTOS'!P:P,"",0,1)</f>
        <v/>
      </c>
      <c r="J48" s="81">
        <f>IF(F48=$Z$2,"",VLOOKUP(F48,'DATASHEET EQUIPAMENTOS'!D:N,3,FALSE))</f>
        <v/>
      </c>
      <c r="K48" s="85" t="inlineStr">
        <is>
          <t>1x5gal</t>
        </is>
      </c>
      <c r="L48" s="95">
        <f>IF(AZ48="CONFORME","CONFORME ✓","NÃO CONFORME ✗")</f>
        <v/>
      </c>
      <c r="M48" s="102">
        <f>IF(F48=$Z$2,"",VLOOKUP(F48,'DATASHEET EQUIPAMENTOS'!D:N,4,FALSE))</f>
        <v/>
      </c>
      <c r="N48" s="103" t="n">
        <v>4</v>
      </c>
      <c r="O48" s="102">
        <f>IF(F48=$Z$2,"",VLOOKUP(F48,'DATASHEET EQUIPAMENTOS'!D:N,5,FALSE))</f>
        <v/>
      </c>
      <c r="P48" s="103" t="n">
        <v>1</v>
      </c>
      <c r="Q48" s="102">
        <f>IF(F48=$Z$2,"",VLOOKUP(F48,'DATASHEET EQUIPAMENTOS'!D:N,6,FALSE))</f>
        <v/>
      </c>
      <c r="R48" s="104" t="n">
        <v>1</v>
      </c>
      <c r="S48" s="95">
        <f>IF(Tabela2[[#This Row],[Instalado Sensor Motor]]="Linear","CONFORME ✓",IF(SUM(M48,O48,Q48)&lt;SUM(N48,P48,R48),"CONFORME ✓",IF(SUM(M48,O48,Q48)=SUM(N48,P48,R48),"CONFORME ✓","NÃO CONFORME ✗")))</f>
        <v/>
      </c>
      <c r="T48" s="91">
        <f>IF(F48=$Z$2,"",VLOOKUP(F48,'DATASHEET EQUIPAMENTOS'!D:N,7,FALSE))</f>
        <v/>
      </c>
      <c r="U48" s="57" t="n">
        <v>6</v>
      </c>
      <c r="V48" s="56">
        <f>IF(F48=$Z$2,"",VLOOKUP(F48,'DATASHEET EQUIPAMENTOS'!D:N,8,FALSE))</f>
        <v/>
      </c>
      <c r="W48" s="57" t="n">
        <v>3</v>
      </c>
      <c r="X48" s="56">
        <f>IF(F48=$Z$2,"",VLOOKUP(F48,'DATASHEET EQUIPAMENTOS'!D:N,9,FALSE))</f>
        <v/>
      </c>
      <c r="Y48" s="57" t="n">
        <v>3</v>
      </c>
      <c r="Z48" s="57">
        <f>IF(SUM(T48,V48,X48)&lt;=SUM(U48,W48,Y48),"CONFORME ✓",IF(SUM(T48,V48,X48)&gt;SUM(U48,W48,Y48),"NÃO CONFORME ✗"))</f>
        <v/>
      </c>
      <c r="AA48" s="56">
        <f>IF(F48=$Z$2,"",VLOOKUP(F48,'DATASHEET EQUIPAMENTOS'!D:N,10,FALSE))</f>
        <v/>
      </c>
      <c r="AB48" s="57" t="n">
        <v>3</v>
      </c>
      <c r="AC48" s="56">
        <f>IF(F48=$Z$2,"",VLOOKUP(F48,'DATASHEET EQUIPAMENTOS'!D:N,11,FALSE))</f>
        <v/>
      </c>
      <c r="AD48" s="57" t="n">
        <v>0</v>
      </c>
      <c r="AE48" s="56">
        <f>IF(F48=$Z$2,"",VLOOKUP(F48,'DATASHEET EQUIPAMENTOS'!D:O,12,FALSE))</f>
        <v/>
      </c>
      <c r="AF48" s="57" t="n">
        <v>0</v>
      </c>
      <c r="AG48" s="57">
        <f>IF(SUM(AA48,AC48,AE48)&lt;=SUM(AB48,AD48,AF48),"CONFORME ✓",IF(SUM(AA48,AC48,AE48)&gt;SUM(AB48,AD48,AF48),"NÃO CONFORME ✗"))</f>
        <v/>
      </c>
      <c r="AH48" s="72" t="n"/>
      <c r="AI48" s="72" t="n"/>
      <c r="AJ48" s="72" t="n"/>
      <c r="AK48" s="7" t="inlineStr">
        <is>
          <t>ESTÁ FALTANDO 01 BICO NA PARTE DAS BOMBAS HIDRÁULICAS, JA FOI SOLICITADO NAS ÚLTIMAS PREVENTIVAS, MAS AINDA NÃO FORNECERAM O BICO PARA INSTALAÇÃO</t>
        </is>
      </c>
      <c r="AL48" s="58">
        <f>IFERROR(CALCULOS!H43,"NECESSÁRIO REVISAR DATASHEET")</f>
        <v/>
      </c>
      <c r="AM4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8" s="64">
        <f>SUM(Tabela2[[#This Row],[Nota de Prioridade Quantitativa(NOTAS: 1 PIOR NOTA; 5 MELHOR NOTA)]],Tabela2[[#This Row],[Nota de Prioridade Qualitativa(NOTAS: 1 PIOR NOTA;  5 MELHOR NOTA)]])</f>
        <v/>
      </c>
      <c r="AO48" s="7" t="n">
        <v>151518</v>
      </c>
      <c r="AP48" s="64">
        <f>SUM(Tabela2[[#This Row],[Nota de Prioridade Quantitativa(NOTAS: 1 PIOR NOTA; 5 MELHOR NOTA)]],Tabela2[[#This Row],[Nota de Prioridade Qualitativa(NOTAS: 1 PIOR NOTA;  5 MELHOR NOTA)]])</f>
        <v/>
      </c>
      <c r="AQ48" s="7" t="n"/>
      <c r="AR48" s="64">
        <f>SUM(Tabela2[[#This Row],[Nota de Prioridade Quantitativa(NOTAS: 1 PIOR NOTA; 5 MELHOR NOTA)]],Tabela2[[#This Row],[Nota de Prioridade Qualitativa(NOTAS: 1 PIOR NOTA;  5 MELHOR NOTA)]])</f>
        <v/>
      </c>
      <c r="AS48" s="7" t="n"/>
      <c r="AZ48" s="20">
        <f t="array" ref="AZ48">StatusCarga(G48,H48,J48,K48)</f>
        <v/>
      </c>
      <c r="BA48" s="20">
        <f>IF(AZ48="CONFORME","CONFORME ✓","NÃO CONFORME ✗")</f>
        <v/>
      </c>
      <c r="BB48" t="n">
        <v>0</v>
      </c>
      <c r="BC48" t="n">
        <v>60</v>
      </c>
      <c r="BD48" t="n">
        <v>0</v>
      </c>
      <c r="BE48" t="n">
        <v>5</v>
      </c>
      <c r="BF48" t="inlineStr">
        <is>
          <t>CONFORME</t>
        </is>
      </c>
    </row>
    <row r="49" hidden="1" ht="21.75" customHeight="1" thickBot="1">
      <c r="A49" s="77" t="inlineStr">
        <is>
          <t>Paraoupeba</t>
        </is>
      </c>
      <c r="B49" s="77" t="inlineStr">
        <is>
          <t>Horizontes</t>
        </is>
      </c>
      <c r="C49" s="80" t="inlineStr">
        <is>
          <t>CA5328</t>
        </is>
      </c>
      <c r="D49" s="80" t="inlineStr">
        <is>
          <t>AFEX</t>
        </is>
      </c>
      <c r="E49" s="78" t="inlineStr">
        <is>
          <t>CATERPILLAR</t>
        </is>
      </c>
      <c r="F49" s="80" t="inlineStr">
        <is>
          <t>CAT 777G</t>
        </is>
      </c>
      <c r="G49" s="81">
        <f>IFERROR(IF(F49=$AB$2,"",VLOOKUP(F49,'DATASHEET EQUIPAMENTOS'!D:N,2,FALSE)),"")</f>
        <v/>
      </c>
      <c r="H49" s="82" t="inlineStr">
        <is>
          <t>3x30lbs</t>
        </is>
      </c>
      <c r="I49" s="57">
        <f>_xlfn.XLOOKUP(Tabela2[[#This Row],[Modelo]],'DATASHEET EQUIPAMENTOS'!D:D,'DATASHEET EQUIPAMENTOS'!P:P,"",0,1)</f>
        <v/>
      </c>
      <c r="J49" s="81">
        <f>IF(F49=$Z$2,"",VLOOKUP(F49,'DATASHEET EQUIPAMENTOS'!D:N,3,FALSE))</f>
        <v/>
      </c>
      <c r="K49" s="85" t="n">
        <v>0</v>
      </c>
      <c r="L49" s="95">
        <f>IF(AZ49="CONFORME","CONFORME ✓","NÃO CONFORME ✗")</f>
        <v/>
      </c>
      <c r="M49" s="119">
        <f>IF(F49=$Z$2,"",VLOOKUP(F49,'DATASHEET EQUIPAMENTOS'!D:N,4,FALSE))</f>
        <v/>
      </c>
      <c r="N49" s="99" t="n">
        <v>5</v>
      </c>
      <c r="O49" s="97">
        <f>IF(F49=$Z$2,"",VLOOKUP(F49,'DATASHEET EQUIPAMENTOS'!D:N,5,FALSE))</f>
        <v/>
      </c>
      <c r="P49" s="98" t="n">
        <v>2</v>
      </c>
      <c r="Q49" s="97">
        <f>IF(F49=$Z$2,"",VLOOKUP(F49,'DATASHEET EQUIPAMENTOS'!D:N,6,FALSE))</f>
        <v/>
      </c>
      <c r="R49" s="99" t="n">
        <v>1</v>
      </c>
      <c r="S49" s="100">
        <f>IF(Tabela2[[#This Row],[Instalado Sensor Motor]]="Linear","CONFORME ✓",IF(SUM(M49,O49,Q49)&lt;SUM(N49,P49,R49),"CONFORME ✓",IF(SUM(M49,O49,Q49)=SUM(N49,P49,R49),"CONFORME ✓","NÃO CONFORME ✗")))</f>
        <v/>
      </c>
      <c r="T49" s="91">
        <f>IF(F49=$Z$2,"",VLOOKUP(F49,'DATASHEET EQUIPAMENTOS'!D:N,7,FALSE))</f>
        <v/>
      </c>
      <c r="U49" s="57" t="n">
        <v>12</v>
      </c>
      <c r="V49" s="56">
        <f>IF(F49=$Z$2,"",VLOOKUP(F49,'DATASHEET EQUIPAMENTOS'!D:N,8,FALSE))</f>
        <v/>
      </c>
      <c r="W49" s="62" t="n">
        <v>3</v>
      </c>
      <c r="X49" s="56">
        <f>IF(F49=$Z$2,"",VLOOKUP(F49,'DATASHEET EQUIPAMENTOS'!D:N,9,FALSE))</f>
        <v/>
      </c>
      <c r="Y49" s="62" t="n">
        <v>3</v>
      </c>
      <c r="Z49" s="57">
        <f>IF(SUM(T49,V49,X49)&lt;=SUM(U49,W49,Y49),"CONFORME ✓",IF(SUM(T49,V49,X49)&gt;SUM(U49,W49,Y49),"NÃO CONFORME ✗"))</f>
        <v/>
      </c>
      <c r="AA49" s="56">
        <f>IF(F49=$Z$2,"",VLOOKUP(F49,'DATASHEET EQUIPAMENTOS'!D:N,10,FALSE))</f>
        <v/>
      </c>
      <c r="AB49" s="57" t="n">
        <v>0</v>
      </c>
      <c r="AC49" s="56">
        <f>IF(F49=$Z$2,"",VLOOKUP(F49,'DATASHEET EQUIPAMENTOS'!D:N,11,FALSE))</f>
        <v/>
      </c>
      <c r="AD49" s="57" t="n">
        <v>0</v>
      </c>
      <c r="AE49" s="56">
        <f>IF(F49=$Z$2,"",VLOOKUP(F49,'DATASHEET EQUIPAMENTOS'!D:O,12,FALSE))</f>
        <v/>
      </c>
      <c r="AF49" s="57" t="n">
        <v>0</v>
      </c>
      <c r="AG49" s="57">
        <f>IF(SUM(AA49,AC49,AE49)&lt;=SUM(AB49,AD49,AF49),"CONFORME ✓",IF(SUM(AA49,AC49,AE49)&gt;SUM(AB49,AD49,AF49),"NÃO CONFORME ✗"))</f>
        <v/>
      </c>
      <c r="AH49" s="72" t="n">
        <v>4.5</v>
      </c>
      <c r="AI49" s="72" t="n">
        <v>4.5</v>
      </c>
      <c r="AJ49" s="72" t="n">
        <v>5</v>
      </c>
      <c r="AK49" s="7" t="inlineStr">
        <is>
          <t>O EQUIPAMENTO NAO POSSUI CILINDRO DE AGENTE LÍQUIDO, REALIZAR PEQUENAS ADEQUAÇÕES NO SISTEMA ELÉTRICO</t>
        </is>
      </c>
      <c r="AL49" s="58">
        <f>IFERROR(CALCULOS!H44,"NECESSÁRIO REVISAR DATASHEET")</f>
        <v/>
      </c>
      <c r="AM4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49" s="64">
        <f>SUM(Tabela2[[#This Row],[Nota de Prioridade Quantitativa(NOTAS: 1 PIOR NOTA; 5 MELHOR NOTA)]],Tabela2[[#This Row],[Nota de Prioridade Qualitativa(NOTAS: 1 PIOR NOTA;  5 MELHOR NOTA)]])</f>
        <v/>
      </c>
      <c r="AO49" s="7" t="n">
        <v>150882</v>
      </c>
      <c r="AP49" s="64">
        <f>SUM(Tabela2[[#This Row],[Nota de Prioridade Quantitativa(NOTAS: 1 PIOR NOTA; 5 MELHOR NOTA)]],Tabela2[[#This Row],[Nota de Prioridade Qualitativa(NOTAS: 1 PIOR NOTA;  5 MELHOR NOTA)]])</f>
        <v/>
      </c>
      <c r="AQ49" s="7" t="n"/>
      <c r="AR49" s="64">
        <f>SUM(Tabela2[[#This Row],[Nota de Prioridade Quantitativa(NOTAS: 1 PIOR NOTA; 5 MELHOR NOTA)]],Tabela2[[#This Row],[Nota de Prioridade Qualitativa(NOTAS: 1 PIOR NOTA;  5 MELHOR NOTA)]])</f>
        <v/>
      </c>
      <c r="AS49" s="7" t="n"/>
      <c r="AZ49" s="20">
        <f t="array" ref="AZ49">StatusCarga(G49,H49,J49,K49)</f>
        <v/>
      </c>
      <c r="BA49" s="20">
        <f>IF(AZ49="CONFORME","CONFORME ✓","NÃO CONFORME ✗")</f>
        <v/>
      </c>
      <c r="BB49" t="n">
        <v>0</v>
      </c>
      <c r="BC49" t="n">
        <v>90</v>
      </c>
      <c r="BD49" t="n">
        <v>0</v>
      </c>
      <c r="BE49" t="n">
        <v>0</v>
      </c>
      <c r="BF49" t="inlineStr">
        <is>
          <t>CONFORME</t>
        </is>
      </c>
    </row>
    <row r="50" hidden="1" ht="21.75" customHeight="1" thickBot="1">
      <c r="A50" s="77" t="inlineStr">
        <is>
          <t>Paraoupeba</t>
        </is>
      </c>
      <c r="B50" s="77" t="inlineStr">
        <is>
          <t>Fábrica</t>
        </is>
      </c>
      <c r="C50" s="80" t="inlineStr">
        <is>
          <t>RE3430</t>
        </is>
      </c>
      <c r="D50" s="80" t="inlineStr">
        <is>
          <t>KIDDE</t>
        </is>
      </c>
      <c r="E50" s="78" t="inlineStr">
        <is>
          <t>CATERPILLAR</t>
        </is>
      </c>
      <c r="F50" s="80" t="inlineStr">
        <is>
          <t>CAT 336</t>
        </is>
      </c>
      <c r="G50" s="81">
        <f>IFERROR(IF(F50=$AB$2,"",VLOOKUP(F50,'DATASHEET EQUIPAMENTOS'!D:N,2,FALSE)),"")</f>
        <v/>
      </c>
      <c r="H50" s="82" t="inlineStr">
        <is>
          <t>1x50lbs</t>
        </is>
      </c>
      <c r="I50" s="57">
        <f>_xlfn.XLOOKUP(Tabela2[[#This Row],[Modelo]],'DATASHEET EQUIPAMENTOS'!D:D,'DATASHEET EQUIPAMENTOS'!P:P,"",0,1)</f>
        <v/>
      </c>
      <c r="J50" s="81">
        <f>IF(F50=$Z$2,"",VLOOKUP(F50,'DATASHEET EQUIPAMENTOS'!D:N,3,FALSE))</f>
        <v/>
      </c>
      <c r="K50" s="85" t="inlineStr">
        <is>
          <t>1x5gal</t>
        </is>
      </c>
      <c r="L50" s="95">
        <f>IF(AZ50="CONFORME","CONFORME ✓","NÃO CONFORME ✗")</f>
        <v/>
      </c>
      <c r="M50" s="102">
        <f>IF(F50=$Z$2,"",VLOOKUP(F50,'DATASHEET EQUIPAMENTOS'!D:N,4,FALSE))</f>
        <v/>
      </c>
      <c r="N50" s="103" t="inlineStr">
        <is>
          <t>Linear</t>
        </is>
      </c>
      <c r="O50" s="102">
        <f>IF(F50=$Z$2,"",VLOOKUP(F50,'DATASHEET EQUIPAMENTOS'!D:N,5,FALSE))</f>
        <v/>
      </c>
      <c r="P50" s="103" t="n"/>
      <c r="Q50" s="102">
        <f>IF(F50=$Z$2,"",VLOOKUP(F50,'DATASHEET EQUIPAMENTOS'!D:N,6,FALSE))</f>
        <v/>
      </c>
      <c r="R50" s="104" t="n"/>
      <c r="S50" s="95">
        <f>IF(Tabela2[[#This Row],[Instalado Sensor Motor]]="Linear","CONFORME ✓",IF(SUM(M50,O50,Q50)&lt;SUM(N50,P50,R50),"CONFORME ✓",IF(SUM(M50,O50,Q50)=SUM(N50,P50,R50),"CONFORME ✓","NÃO CONFORME ✗")))</f>
        <v/>
      </c>
      <c r="T50" s="91">
        <f>IF(F50=$Z$2,"",VLOOKUP(F50,'DATASHEET EQUIPAMENTOS'!D:N,7,FALSE))</f>
        <v/>
      </c>
      <c r="U50" s="57" t="n">
        <v>2</v>
      </c>
      <c r="V50" s="56">
        <f>IF(F50=$Z$2,"",VLOOKUP(F50,'DATASHEET EQUIPAMENTOS'!D:N,8,FALSE))</f>
        <v/>
      </c>
      <c r="W50" s="57" t="n">
        <v>6</v>
      </c>
      <c r="X50" s="56">
        <f>IF(F50=$Z$2,"",VLOOKUP(F50,'DATASHEET EQUIPAMENTOS'!D:N,9,FALSE))</f>
        <v/>
      </c>
      <c r="Y50" s="57" t="n">
        <v>2</v>
      </c>
      <c r="Z50" s="57">
        <f>IF(SUM(T50,V50,X50)&lt;=SUM(U50,W50,Y50),"CONFORME ✓",IF(SUM(T50,V50,X50)&gt;SUM(U50,W50,Y50),"NÃO CONFORME ✗"))</f>
        <v/>
      </c>
      <c r="AA50" s="56">
        <f>IF(F50=$Z$2,"",VLOOKUP(F50,'DATASHEET EQUIPAMENTOS'!D:N,10,FALSE))</f>
        <v/>
      </c>
      <c r="AB50" s="57" t="n">
        <v>2</v>
      </c>
      <c r="AC50" s="56">
        <f>IF(F50=$Z$2,"",VLOOKUP(F50,'DATASHEET EQUIPAMENTOS'!D:N,11,FALSE))</f>
        <v/>
      </c>
      <c r="AD50" s="57" t="n"/>
      <c r="AE50" s="56">
        <f>IF(F50=$Z$2,"",VLOOKUP(F50,'DATASHEET EQUIPAMENTOS'!D:O,12,FALSE))</f>
        <v/>
      </c>
      <c r="AF50" s="57" t="n"/>
      <c r="AG50" s="57">
        <f>IF(SUM(AA50,AC50,AE50)&lt;=SUM(AB50,AD50,AF50),"CONFORME ✓",IF(SUM(AA50,AC50,AE50)&gt;SUM(AB50,AD50,AF50),"NÃO CONFORME ✗"))</f>
        <v/>
      </c>
      <c r="AH50" s="72" t="n">
        <v>2</v>
      </c>
      <c r="AI50" s="72" t="n">
        <v>1</v>
      </c>
      <c r="AJ50" s="72" t="n">
        <v>2</v>
      </c>
      <c r="AK50" s="7" t="inlineStr">
        <is>
          <t>REPOSICIONAR PAINEL E ATUADOR DA CABINE; É NECESSÁRIO REALIZAR ADEQUAÇÃO DOS CABO LINEAR, BICOS E MANGUEIRAS DE DISTRIBUIÇÃO DO AGENTE PQS</t>
        </is>
      </c>
      <c r="AL50" s="58">
        <f>IFERROR(CALCULOS!H45,"NECESSÁRIO REVISAR DATASHEET")</f>
        <v/>
      </c>
      <c r="AM5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0" s="64">
        <f>SUM(Tabela2[[#This Row],[Nota de Prioridade Quantitativa(NOTAS: 1 PIOR NOTA; 5 MELHOR NOTA)]],Tabela2[[#This Row],[Nota de Prioridade Qualitativa(NOTAS: 1 PIOR NOTA;  5 MELHOR NOTA)]])</f>
        <v/>
      </c>
      <c r="AO50" s="7" t="n">
        <v>151317</v>
      </c>
      <c r="AP50" s="64">
        <f>SUM(Tabela2[[#This Row],[Nota de Prioridade Quantitativa(NOTAS: 1 PIOR NOTA; 5 MELHOR NOTA)]],Tabela2[[#This Row],[Nota de Prioridade Qualitativa(NOTAS: 1 PIOR NOTA;  5 MELHOR NOTA)]])</f>
        <v/>
      </c>
      <c r="AQ50" s="7" t="n"/>
      <c r="AR50" s="64">
        <f>SUM(Tabela2[[#This Row],[Nota de Prioridade Quantitativa(NOTAS: 1 PIOR NOTA; 5 MELHOR NOTA)]],Tabela2[[#This Row],[Nota de Prioridade Qualitativa(NOTAS: 1 PIOR NOTA;  5 MELHOR NOTA)]])</f>
        <v/>
      </c>
      <c r="AS50" s="7" t="n"/>
      <c r="AZ50" s="20">
        <f t="array" ref="AZ50">StatusCarga(G50,H50,J50,K50)</f>
        <v/>
      </c>
      <c r="BA50" s="20">
        <f>IF(AZ50="CONFORME","CONFORME ✓","NÃO CONFORME ✗")</f>
        <v/>
      </c>
      <c r="BB50" t="n">
        <v>0</v>
      </c>
      <c r="BC50" t="n">
        <v>50</v>
      </c>
      <c r="BD50" t="n">
        <v>0</v>
      </c>
      <c r="BE50" t="n">
        <v>5</v>
      </c>
      <c r="BF50" t="inlineStr">
        <is>
          <t>CONFORME</t>
        </is>
      </c>
    </row>
    <row r="51" hidden="1" ht="21.75" customHeight="1" thickBot="1">
      <c r="A51" s="77" t="inlineStr">
        <is>
          <t>Paraoupeba</t>
        </is>
      </c>
      <c r="B51" s="77" t="inlineStr">
        <is>
          <t>Horizontes</t>
        </is>
      </c>
      <c r="C51" s="80" t="inlineStr">
        <is>
          <t>CA5329</t>
        </is>
      </c>
      <c r="D51" s="80" t="inlineStr">
        <is>
          <t>AFEX</t>
        </is>
      </c>
      <c r="E51" s="78" t="inlineStr">
        <is>
          <t>CATERPILLAR</t>
        </is>
      </c>
      <c r="F51" s="80" t="inlineStr">
        <is>
          <t>CAT 777G</t>
        </is>
      </c>
      <c r="G51" s="81">
        <f>IFERROR(IF(F51=$AB$2,"",VLOOKUP(F51,'DATASHEET EQUIPAMENTOS'!D:N,2,FALSE)),"")</f>
        <v/>
      </c>
      <c r="H51" s="82" t="inlineStr">
        <is>
          <t>3x30lbs</t>
        </is>
      </c>
      <c r="I51" s="57">
        <f>_xlfn.XLOOKUP(Tabela2[[#This Row],[Modelo]],'DATASHEET EQUIPAMENTOS'!D:D,'DATASHEET EQUIPAMENTOS'!P:P,"",0,1)</f>
        <v/>
      </c>
      <c r="J51" s="81">
        <f>IF(F51=$Z$2,"",VLOOKUP(F51,'DATASHEET EQUIPAMENTOS'!D:N,3,FALSE))</f>
        <v/>
      </c>
      <c r="K51" s="85" t="n">
        <v>0</v>
      </c>
      <c r="L51" s="95">
        <f>IF(AZ51="CONFORME","CONFORME ✓","NÃO CONFORME ✗")</f>
        <v/>
      </c>
      <c r="M51" s="119">
        <f>IF(F51=$Z$2,"",VLOOKUP(F51,'DATASHEET EQUIPAMENTOS'!D:N,4,FALSE))</f>
        <v/>
      </c>
      <c r="N51" s="99" t="n">
        <v>5</v>
      </c>
      <c r="O51" s="97">
        <f>IF(F51=$Z$2,"",VLOOKUP(F51,'DATASHEET EQUIPAMENTOS'!D:N,5,FALSE))</f>
        <v/>
      </c>
      <c r="P51" s="99" t="n">
        <v>2</v>
      </c>
      <c r="Q51" s="97">
        <f>IF(F51=$Z$2,"",VLOOKUP(F51,'DATASHEET EQUIPAMENTOS'!D:N,6,FALSE))</f>
        <v/>
      </c>
      <c r="R51" s="99" t="n">
        <v>1</v>
      </c>
      <c r="S51" s="100">
        <f>IF(Tabela2[[#This Row],[Instalado Sensor Motor]]="Linear","CONFORME ✓",IF(SUM(M51,O51,Q51)&lt;SUM(N51,P51,R51),"CONFORME ✓",IF(SUM(M51,O51,Q51)=SUM(N51,P51,R51),"CONFORME ✓","NÃO CONFORME ✗")))</f>
        <v/>
      </c>
      <c r="T51" s="91">
        <f>IF(F51=$Z$2,"",VLOOKUP(F51,'DATASHEET EQUIPAMENTOS'!D:N,7,FALSE))</f>
        <v/>
      </c>
      <c r="U51" s="57" t="n">
        <v>12</v>
      </c>
      <c r="V51" s="56">
        <f>IF(F51=$Z$2,"",VLOOKUP(F51,'DATASHEET EQUIPAMENTOS'!D:N,8,FALSE))</f>
        <v/>
      </c>
      <c r="W51" s="62" t="n">
        <v>3</v>
      </c>
      <c r="X51" s="56">
        <f>IF(F51=$Z$2,"",VLOOKUP(F51,'DATASHEET EQUIPAMENTOS'!D:N,9,FALSE))</f>
        <v/>
      </c>
      <c r="Y51" s="62" t="n">
        <v>3</v>
      </c>
      <c r="Z51" s="57">
        <f>IF(SUM(T51,V51,X51)&lt;=SUM(U51,W51,Y51),"CONFORME ✓",IF(SUM(T51,V51,X51)&gt;SUM(U51,W51,Y51),"NÃO CONFORME ✗"))</f>
        <v/>
      </c>
      <c r="AA51" s="56">
        <f>IF(F51=$Z$2,"",VLOOKUP(F51,'DATASHEET EQUIPAMENTOS'!D:N,10,FALSE))</f>
        <v/>
      </c>
      <c r="AB51" s="57" t="n">
        <v>0</v>
      </c>
      <c r="AC51" s="56">
        <f>IF(F51=$Z$2,"",VLOOKUP(F51,'DATASHEET EQUIPAMENTOS'!D:N,11,FALSE))</f>
        <v/>
      </c>
      <c r="AD51" s="57" t="n">
        <v>0</v>
      </c>
      <c r="AE51" s="56">
        <f>IF(F51=$Z$2,"",VLOOKUP(F51,'DATASHEET EQUIPAMENTOS'!D:O,12,FALSE))</f>
        <v/>
      </c>
      <c r="AF51" s="57" t="n">
        <v>0</v>
      </c>
      <c r="AG51" s="57">
        <f>IF(SUM(AA51,AC51,AE51)&lt;=SUM(AB51,AD51,AF51),"CONFORME ✓",IF(SUM(AA51,AC51,AE51)&gt;SUM(AB51,AD51,AF51),"NÃO CONFORME ✗"))</f>
        <v/>
      </c>
      <c r="AH51" s="72" t="n">
        <v>4</v>
      </c>
      <c r="AI51" s="72" t="n">
        <v>4.5</v>
      </c>
      <c r="AJ51" s="72" t="n">
        <v>5</v>
      </c>
      <c r="AK51" s="7" t="inlineStr">
        <is>
          <t>O EQUIPAMENTO NAO POSSUI CILINDRO DE AGENTE LÍQUIDO, REALIZAR PEQUENAS ADEQUAÇÕES NO SISTEMA ELÉTRICO E MANGUEIRAS</t>
        </is>
      </c>
      <c r="AL51" s="58">
        <f>IFERROR(CALCULOS!H46,"NECESSÁRIO REVISAR DATASHEET")</f>
        <v/>
      </c>
      <c r="AM5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1" s="64">
        <f>SUM(Tabela2[[#This Row],[Nota de Prioridade Quantitativa(NOTAS: 1 PIOR NOTA; 5 MELHOR NOTA)]],Tabela2[[#This Row],[Nota de Prioridade Qualitativa(NOTAS: 1 PIOR NOTA;  5 MELHOR NOTA)]])</f>
        <v/>
      </c>
      <c r="AO51" s="7" t="n">
        <v>151378</v>
      </c>
      <c r="AP51" s="64">
        <f>SUM(Tabela2[[#This Row],[Nota de Prioridade Quantitativa(NOTAS: 1 PIOR NOTA; 5 MELHOR NOTA)]],Tabela2[[#This Row],[Nota de Prioridade Qualitativa(NOTAS: 1 PIOR NOTA;  5 MELHOR NOTA)]])</f>
        <v/>
      </c>
      <c r="AQ51" s="7" t="n"/>
      <c r="AR51" s="64">
        <f>SUM(Tabela2[[#This Row],[Nota de Prioridade Quantitativa(NOTAS: 1 PIOR NOTA; 5 MELHOR NOTA)]],Tabela2[[#This Row],[Nota de Prioridade Qualitativa(NOTAS: 1 PIOR NOTA;  5 MELHOR NOTA)]])</f>
        <v/>
      </c>
      <c r="AS51" s="7" t="n"/>
      <c r="AZ51" s="20">
        <f t="array" ref="AZ51">StatusCarga(G51,H51,J51,K51)</f>
        <v/>
      </c>
      <c r="BA51" s="20">
        <f>IF(AZ51="CONFORME","CONFORME ✓","NÃO CONFORME ✗")</f>
        <v/>
      </c>
      <c r="BB51" t="n">
        <v>0</v>
      </c>
      <c r="BC51" t="n">
        <v>90</v>
      </c>
      <c r="BD51" t="n">
        <v>0</v>
      </c>
      <c r="BE51" t="n">
        <v>0</v>
      </c>
      <c r="BF51" t="inlineStr">
        <is>
          <t>CONFORME</t>
        </is>
      </c>
    </row>
    <row r="52" hidden="1" ht="21.75" customHeight="1" thickBot="1">
      <c r="A52" s="77" t="inlineStr">
        <is>
          <t>VGR</t>
        </is>
      </c>
      <c r="B52" s="77" t="inlineStr">
        <is>
          <t>Aboboras</t>
        </is>
      </c>
      <c r="C52" s="80" t="inlineStr">
        <is>
          <t>MN1806</t>
        </is>
      </c>
      <c r="D52" s="80" t="inlineStr">
        <is>
          <t>AFEX</t>
        </is>
      </c>
      <c r="E52" s="78" t="inlineStr">
        <is>
          <t>CATERPILLAR</t>
        </is>
      </c>
      <c r="F52" s="80" t="inlineStr">
        <is>
          <t>CAT 18</t>
        </is>
      </c>
      <c r="G52" s="81">
        <f>IFERROR(IF(F52=$AB$2,"",VLOOKUP(F52,'DATASHEET EQUIPAMENTOS'!D:N,2,FALSE)),"")</f>
        <v/>
      </c>
      <c r="H52" s="82" t="inlineStr">
        <is>
          <t>1x60lbs</t>
        </is>
      </c>
      <c r="I52" s="57">
        <f>_xlfn.XLOOKUP(Tabela2[[#This Row],[Modelo]],'DATASHEET EQUIPAMENTOS'!D:D,'DATASHEET EQUIPAMENTOS'!P:P,"",0,1)</f>
        <v/>
      </c>
      <c r="J52" s="81">
        <f>IF(F52=$Z$2,"",VLOOKUP(F52,'DATASHEET EQUIPAMENTOS'!D:N,3,FALSE))</f>
        <v/>
      </c>
      <c r="K52" s="85" t="inlineStr">
        <is>
          <t>1x5gal</t>
        </is>
      </c>
      <c r="L52" s="95">
        <f>IF(AZ52="CONFORME","CONFORME ✓","NÃO CONFORME ✗")</f>
        <v/>
      </c>
      <c r="M52" s="102">
        <f>IF(F52=$Z$2,"",VLOOKUP(F52,'DATASHEET EQUIPAMENTOS'!D:N,4,FALSE))</f>
        <v/>
      </c>
      <c r="N52" s="103" t="n">
        <v>4</v>
      </c>
      <c r="O52" s="102">
        <f>IF(F52=$Z$2,"",VLOOKUP(F52,'DATASHEET EQUIPAMENTOS'!D:N,5,FALSE))</f>
        <v/>
      </c>
      <c r="P52" s="103" t="n">
        <v>2</v>
      </c>
      <c r="Q52" s="102">
        <f>IF(F52=$Z$2,"",VLOOKUP(F52,'DATASHEET EQUIPAMENTOS'!D:N,6,FALSE))</f>
        <v/>
      </c>
      <c r="R52" s="104" t="n">
        <v>2</v>
      </c>
      <c r="S52" s="95">
        <f>IF(Tabela2[[#This Row],[Instalado Sensor Motor]]="Linear","CONFORME ✓",IF(SUM(M52,O52,Q52)&lt;SUM(N52,P52,R52),"CONFORME ✓",IF(SUM(M52,O52,Q52)=SUM(N52,P52,R52),"CONFORME ✓","NÃO CONFORME ✗")))</f>
        <v/>
      </c>
      <c r="T52" s="91">
        <f>IF(F52=$Z$2,"",VLOOKUP(F52,'DATASHEET EQUIPAMENTOS'!D:N,7,FALSE))</f>
        <v/>
      </c>
      <c r="U52" s="57" t="n">
        <v>6</v>
      </c>
      <c r="V52" s="56">
        <f>IF(F52=$Z$2,"",VLOOKUP(F52,'DATASHEET EQUIPAMENTOS'!D:N,8,FALSE))</f>
        <v/>
      </c>
      <c r="W52" s="57" t="n">
        <v>6</v>
      </c>
      <c r="X52" s="56">
        <f>IF(F52=$Z$2,"",VLOOKUP(F52,'DATASHEET EQUIPAMENTOS'!D:N,9,FALSE))</f>
        <v/>
      </c>
      <c r="Y52" s="57" t="n">
        <v>6</v>
      </c>
      <c r="Z52" s="57">
        <f>IF(SUM(T52,V52,X52)&lt;=SUM(U52,W52,Y52),"CONFORME ✓",IF(SUM(T52,V52,X52)&gt;SUM(U52,W52,Y52),"NÃO CONFORME ✗"))</f>
        <v/>
      </c>
      <c r="AA52" s="56">
        <f>IF(F52=$Z$2,"",VLOOKUP(F52,'DATASHEET EQUIPAMENTOS'!D:N,10,FALSE))</f>
        <v/>
      </c>
      <c r="AB52" s="57" t="n">
        <v>3</v>
      </c>
      <c r="AC52" s="56">
        <f>IF(F52=$Z$2,"",VLOOKUP(F52,'DATASHEET EQUIPAMENTOS'!D:N,11,FALSE))</f>
        <v/>
      </c>
      <c r="AD52" s="57" t="n"/>
      <c r="AE52" s="56">
        <f>IF(F52=$Z$2,"",VLOOKUP(F52,'DATASHEET EQUIPAMENTOS'!D:O,12,FALSE))</f>
        <v/>
      </c>
      <c r="AF52" s="57" t="n"/>
      <c r="AG52" s="57">
        <f>IF(SUM(AA52,AC52,AE52)&lt;=SUM(AB52,AD52,AF52),"CONFORME ✓",IF(SUM(AA52,AC52,AE52)&gt;SUM(AB52,AD52,AF52),"NÃO CONFORME ✗"))</f>
        <v/>
      </c>
      <c r="AH52" s="72" t="n">
        <v>4</v>
      </c>
      <c r="AI52" s="72" t="n">
        <v>4</v>
      </c>
      <c r="AJ52" s="72" t="n">
        <v>5</v>
      </c>
      <c r="AK52" s="7" t="inlineStr">
        <is>
          <t>ACRESCENTAR UMA TAMPA DE BICO AGENTE LÍQUIDO; REALIZAR REPOSICIONAMENTO DE BICOS DE AGENTE PQS E LÍQUIDO</t>
        </is>
      </c>
      <c r="AL52" s="58">
        <f>IFERROR(CALCULOS!H47,"NECESSÁRIO REVISAR DATASHEET")</f>
        <v/>
      </c>
      <c r="AM5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2" s="64">
        <f>SUM(Tabela2[[#This Row],[Nota de Prioridade Quantitativa(NOTAS: 1 PIOR NOTA; 5 MELHOR NOTA)]],Tabela2[[#This Row],[Nota de Prioridade Qualitativa(NOTAS: 1 PIOR NOTA;  5 MELHOR NOTA)]])</f>
        <v/>
      </c>
      <c r="AO52" s="7" t="n">
        <v>152607</v>
      </c>
      <c r="AP52" s="64">
        <f>SUM(Tabela2[[#This Row],[Nota de Prioridade Quantitativa(NOTAS: 1 PIOR NOTA; 5 MELHOR NOTA)]],Tabela2[[#This Row],[Nota de Prioridade Qualitativa(NOTAS: 1 PIOR NOTA;  5 MELHOR NOTA)]])</f>
        <v/>
      </c>
      <c r="AQ52" s="7" t="n"/>
      <c r="AR52" s="64">
        <f>SUM(Tabela2[[#This Row],[Nota de Prioridade Quantitativa(NOTAS: 1 PIOR NOTA; 5 MELHOR NOTA)]],Tabela2[[#This Row],[Nota de Prioridade Qualitativa(NOTAS: 1 PIOR NOTA;  5 MELHOR NOTA)]])</f>
        <v/>
      </c>
      <c r="AS52" s="7" t="n"/>
      <c r="AZ52" s="20">
        <f t="array" ref="AZ52">StatusCarga(G52,H52,J52,K52)</f>
        <v/>
      </c>
      <c r="BA52" s="20">
        <f>IF(AZ52="CONFORME","CONFORME ✓","NÃO CONFORME ✗")</f>
        <v/>
      </c>
      <c r="BB52" t="n">
        <v>0</v>
      </c>
      <c r="BC52" t="n">
        <v>60</v>
      </c>
      <c r="BD52" t="n">
        <v>0</v>
      </c>
      <c r="BE52" t="n">
        <v>5</v>
      </c>
      <c r="BF52" t="inlineStr">
        <is>
          <t>CONFORME</t>
        </is>
      </c>
    </row>
    <row r="53" hidden="1" ht="21.75" customHeight="1" thickBot="1">
      <c r="A53" s="77" t="inlineStr">
        <is>
          <t>Paraoupeba</t>
        </is>
      </c>
      <c r="B53" s="77" t="inlineStr">
        <is>
          <t>Viga</t>
        </is>
      </c>
      <c r="C53" s="80" t="inlineStr">
        <is>
          <t>RE3924</t>
        </is>
      </c>
      <c r="D53" s="80" t="inlineStr">
        <is>
          <t>AFEX</t>
        </is>
      </c>
      <c r="E53" s="78" t="inlineStr">
        <is>
          <t>CATERPILLAR</t>
        </is>
      </c>
      <c r="F53" s="80" t="inlineStr">
        <is>
          <t>CAT 390</t>
        </is>
      </c>
      <c r="G53" s="81">
        <f>IFERROR(IF(F53=$AB$2,"",VLOOKUP(F53,'DATASHEET EQUIPAMENTOS'!D:N,2,FALSE)),"")</f>
        <v/>
      </c>
      <c r="H53" s="82" t="inlineStr">
        <is>
          <t>3x30lbs</t>
        </is>
      </c>
      <c r="I53" s="57">
        <f>_xlfn.XLOOKUP(Tabela2[[#This Row],[Modelo]],'DATASHEET EQUIPAMENTOS'!D:D,'DATASHEET EQUIPAMENTOS'!P:P,"",0,1)</f>
        <v/>
      </c>
      <c r="J53" s="81">
        <f>IF(F53=$Z$2,"",VLOOKUP(F53,'DATASHEET EQUIPAMENTOS'!D:N,3,FALSE))</f>
        <v/>
      </c>
      <c r="K53" s="85" t="n">
        <v>0</v>
      </c>
      <c r="L53" s="95">
        <f>IF(AZ53="CONFORME","CONFORME ✓","NÃO CONFORME ✗")</f>
        <v/>
      </c>
      <c r="M53" s="102">
        <f>IF(F53=$Z$2,"",VLOOKUP(F53,'DATASHEET EQUIPAMENTOS'!D:N,4,FALSE))</f>
        <v/>
      </c>
      <c r="N53" s="103" t="n">
        <v>4</v>
      </c>
      <c r="O53" s="102">
        <f>IF(F53=$Z$2,"",VLOOKUP(F53,'DATASHEET EQUIPAMENTOS'!D:N,5,FALSE))</f>
        <v/>
      </c>
      <c r="P53" s="103" t="n">
        <v>2</v>
      </c>
      <c r="Q53" s="102">
        <f>IF(F53=$Z$2,"",VLOOKUP(F53,'DATASHEET EQUIPAMENTOS'!D:N,6,FALSE))</f>
        <v/>
      </c>
      <c r="R53" s="104" t="n">
        <v>1</v>
      </c>
      <c r="S53" s="95">
        <f>IF(Tabela2[[#This Row],[Instalado Sensor Motor]]="Linear","CONFORME ✓",IF(SUM(M53,O53,Q53)&lt;SUM(N53,P53,R53),"CONFORME ✓",IF(SUM(M53,O53,Q53)=SUM(N53,P53,R53),"CONFORME ✓","NÃO CONFORME ✗")))</f>
        <v/>
      </c>
      <c r="T53" s="91">
        <f>IF(F53=$Z$2,"",VLOOKUP(F53,'DATASHEET EQUIPAMENTOS'!D:N,7,FALSE))</f>
        <v/>
      </c>
      <c r="U53" s="57" t="n">
        <v>9</v>
      </c>
      <c r="V53" s="56">
        <f>IF(F53=$Z$2,"",VLOOKUP(F53,'DATASHEET EQUIPAMENTOS'!D:N,8,FALSE))</f>
        <v/>
      </c>
      <c r="W53" s="57" t="n">
        <v>3</v>
      </c>
      <c r="X53" s="56">
        <f>IF(F53=$Z$2,"",VLOOKUP(F53,'DATASHEET EQUIPAMENTOS'!D:N,9,FALSE))</f>
        <v/>
      </c>
      <c r="Y53" s="57" t="n">
        <v>6</v>
      </c>
      <c r="Z53" s="57">
        <f>IF(SUM(T53,V53,X53)&lt;=SUM(U53,W53,Y53),"CONFORME ✓",IF(SUM(T53,V53,X53)&gt;SUM(U53,W53,Y53),"NÃO CONFORME ✗"))</f>
        <v/>
      </c>
      <c r="AA53" s="56">
        <f>IF(F53=$Z$2,"",VLOOKUP(F53,'DATASHEET EQUIPAMENTOS'!D:N,10,FALSE))</f>
        <v/>
      </c>
      <c r="AB53" s="57" t="n"/>
      <c r="AC53" s="56">
        <f>IF(F53=$Z$2,"",VLOOKUP(F53,'DATASHEET EQUIPAMENTOS'!D:N,11,FALSE))</f>
        <v/>
      </c>
      <c r="AD53" s="57" t="n"/>
      <c r="AE53" s="56">
        <f>IF(F53=$Z$2,"",VLOOKUP(F53,'DATASHEET EQUIPAMENTOS'!D:O,12,FALSE))</f>
        <v/>
      </c>
      <c r="AF53" s="57" t="n"/>
      <c r="AG53" s="57">
        <f>IF(SUM(AA53,AC53,AE53)&lt;=SUM(AB53,AD53,AF53),"CONFORME ✓",IF(SUM(AA53,AC53,AE53)&gt;SUM(AB53,AD53,AF53),"NÃO CONFORME ✗"))</f>
        <v/>
      </c>
      <c r="AH53" s="72" t="n">
        <v>2.5</v>
      </c>
      <c r="AI53" s="72" t="n">
        <v>4</v>
      </c>
      <c r="AJ53" s="72" t="n">
        <v>4</v>
      </c>
      <c r="AK53" s="7" t="inlineStr">
        <is>
          <t>REPOSICIONAR CABOS DOS SENSORES</t>
        </is>
      </c>
      <c r="AL53" s="58">
        <f>IFERROR(CALCULOS!H48,"NECESSÁRIO REVISAR DATASHEET")</f>
        <v/>
      </c>
      <c r="AM5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3" s="64">
        <f>SUM(Tabela2[[#This Row],[Nota de Prioridade Quantitativa(NOTAS: 1 PIOR NOTA; 5 MELHOR NOTA)]],Tabela2[[#This Row],[Nota de Prioridade Qualitativa(NOTAS: 1 PIOR NOTA;  5 MELHOR NOTA)]])</f>
        <v/>
      </c>
      <c r="AO53" s="7" t="n">
        <v>152754</v>
      </c>
      <c r="AP53" s="64">
        <f>SUM(Tabela2[[#This Row],[Nota de Prioridade Quantitativa(NOTAS: 1 PIOR NOTA; 5 MELHOR NOTA)]],Tabela2[[#This Row],[Nota de Prioridade Qualitativa(NOTAS: 1 PIOR NOTA;  5 MELHOR NOTA)]])</f>
        <v/>
      </c>
      <c r="AQ53" s="7" t="n"/>
      <c r="AR53" s="64">
        <f>SUM(Tabela2[[#This Row],[Nota de Prioridade Quantitativa(NOTAS: 1 PIOR NOTA; 5 MELHOR NOTA)]],Tabela2[[#This Row],[Nota de Prioridade Qualitativa(NOTAS: 1 PIOR NOTA;  5 MELHOR NOTA)]])</f>
        <v/>
      </c>
      <c r="AS53" s="7" t="n"/>
      <c r="AZ53" s="20">
        <f t="array" ref="AZ53">StatusCarga(G53,H53,J53,K53)</f>
        <v/>
      </c>
      <c r="BA53" s="20">
        <f>IF(AZ53="CONFORME","CONFORME ✓","NÃO CONFORME ✗")</f>
        <v/>
      </c>
      <c r="BB53" t="n">
        <v>0</v>
      </c>
      <c r="BC53" t="n">
        <v>90</v>
      </c>
      <c r="BD53" t="n">
        <v>0</v>
      </c>
      <c r="BE53" t="n">
        <v>0</v>
      </c>
      <c r="BF53" t="inlineStr">
        <is>
          <t>CONFORME</t>
        </is>
      </c>
    </row>
    <row r="54" hidden="1" ht="21.75" customHeight="1" thickBot="1">
      <c r="A54" s="77" t="inlineStr">
        <is>
          <t>Paraoupeba</t>
        </is>
      </c>
      <c r="B54" s="77" t="inlineStr">
        <is>
          <t>Fábrica</t>
        </is>
      </c>
      <c r="C54" s="80" t="inlineStr">
        <is>
          <t>CA5377</t>
        </is>
      </c>
      <c r="D54" s="80" t="inlineStr">
        <is>
          <t>KIDDE</t>
        </is>
      </c>
      <c r="E54" s="80" t="inlineStr">
        <is>
          <t>CATERPILLAR</t>
        </is>
      </c>
      <c r="F54" s="80" t="inlineStr">
        <is>
          <t>CAT 777</t>
        </is>
      </c>
      <c r="G54" s="81">
        <f>IFERROR(IF(F54=$AB$2,"",VLOOKUP(F54,'DATASHEET EQUIPAMENTOS'!D:N,2,FALSE)),"")</f>
        <v/>
      </c>
      <c r="H54" s="82" t="inlineStr">
        <is>
          <t>2x50lbs</t>
        </is>
      </c>
      <c r="I54" s="57">
        <f>_xlfn.XLOOKUP(Tabela2[[#This Row],[Modelo]],'DATASHEET EQUIPAMENTOS'!D:D,'DATASHEET EQUIPAMENTOS'!P:P,"",0,1)</f>
        <v/>
      </c>
      <c r="J54" s="81">
        <f>IF(F54=$Z$2,"",VLOOKUP(F54,'DATASHEET EQUIPAMENTOS'!D:N,3,FALSE))</f>
        <v/>
      </c>
      <c r="K54" s="85" t="inlineStr">
        <is>
          <t>1x5gal</t>
        </is>
      </c>
      <c r="L54" s="95">
        <f>IF(AZ54="CONFORME","CONFORME ✓","NÃO CONFORME ✗")</f>
        <v/>
      </c>
      <c r="M54" s="102">
        <f>IF(F54=$Z$2,"",VLOOKUP(F54,'DATASHEET EQUIPAMENTOS'!D:N,4,FALSE))</f>
        <v/>
      </c>
      <c r="N54" s="103" t="inlineStr">
        <is>
          <t>Linear</t>
        </is>
      </c>
      <c r="O54" s="102">
        <f>IF(F54=$Z$2,"",VLOOKUP(F54,'DATASHEET EQUIPAMENTOS'!D:N,5,FALSE))</f>
        <v/>
      </c>
      <c r="P54" s="103" t="n"/>
      <c r="Q54" s="102">
        <f>IF(F54=$Z$2,"",VLOOKUP(F54,'DATASHEET EQUIPAMENTOS'!D:N,6,FALSE))</f>
        <v/>
      </c>
      <c r="R54" s="104" t="n"/>
      <c r="S54" s="95">
        <f>IF(Tabela2[[#This Row],[Instalado Sensor Motor]]="Linear","CONFORME ✓",IF(SUM(M54,O54,Q54)&lt;SUM(N54,P54,R54),"CONFORME ✓",IF(SUM(M54,O54,Q54)=SUM(N54,P54,R54),"CONFORME ✓","NÃO CONFORME ✗")))</f>
        <v/>
      </c>
      <c r="T54" s="91">
        <f>IF(F54=$Z$2,"",VLOOKUP(F54,'DATASHEET EQUIPAMENTOS'!D:N,7,FALSE))</f>
        <v/>
      </c>
      <c r="U54" s="57" t="n">
        <v>7</v>
      </c>
      <c r="V54" s="56">
        <f>IF(F54=$Z$2,"",VLOOKUP(F54,'DATASHEET EQUIPAMENTOS'!D:N,8,FALSE))</f>
        <v/>
      </c>
      <c r="W54" s="57" t="n">
        <v>6</v>
      </c>
      <c r="X54" s="56">
        <f>IF(F54=$Z$2,"",VLOOKUP(F54,'DATASHEET EQUIPAMENTOS'!D:N,9,FALSE))</f>
        <v/>
      </c>
      <c r="Y54" s="57" t="n">
        <v>2</v>
      </c>
      <c r="Z54" s="57">
        <f>IF(SUM(T54,V54,X54)&lt;=SUM(U54,W54,Y54),"CONFORME ✓",IF(SUM(T54,V54,X54)&gt;SUM(U54,W54,Y54),"NÃO CONFORME ✗"))</f>
        <v/>
      </c>
      <c r="AA54" s="56">
        <f>IF(F54=$Z$2,"",VLOOKUP(F54,'DATASHEET EQUIPAMENTOS'!D:N,10,FALSE))</f>
        <v/>
      </c>
      <c r="AB54" s="57" t="n">
        <v>4</v>
      </c>
      <c r="AC54" s="56">
        <f>IF(F54=$Z$2,"",VLOOKUP(F54,'DATASHEET EQUIPAMENTOS'!D:N,11,FALSE))</f>
        <v/>
      </c>
      <c r="AD54" s="57" t="n"/>
      <c r="AE54" s="56">
        <f>IF(F54=$Z$2,"",VLOOKUP(F54,'DATASHEET EQUIPAMENTOS'!D:O,12,FALSE))</f>
        <v/>
      </c>
      <c r="AF54" s="57" t="n"/>
      <c r="AG54" s="57">
        <f>IF(SUM(AA54,AC54,AE54)&lt;=SUM(AB54,AD54,AF54),"CONFORME ✓",IF(SUM(AA54,AC54,AE54)&gt;SUM(AB54,AD54,AF54),"NÃO CONFORME ✗"))</f>
        <v/>
      </c>
      <c r="AH54" s="72" t="n">
        <v>3</v>
      </c>
      <c r="AI54" s="72" t="n">
        <v>2</v>
      </c>
      <c r="AJ54" s="72" t="n">
        <v>5</v>
      </c>
      <c r="AK54" s="7" t="inlineStr">
        <is>
          <t>ADEQUAR FIXAÇÃO DOS CABOS LINEAR E ADEQUAR QUANTIDADE DE BICOS PQS</t>
        </is>
      </c>
      <c r="AL54" s="58">
        <f>IFERROR(CALCULOS!H49,"NECESSÁRIO REVISAR DATASHEET")</f>
        <v/>
      </c>
      <c r="AM5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4" s="64">
        <f>SUM(Tabela2[[#This Row],[Nota de Prioridade Quantitativa(NOTAS: 1 PIOR NOTA; 5 MELHOR NOTA)]],Tabela2[[#This Row],[Nota de Prioridade Qualitativa(NOTAS: 1 PIOR NOTA;  5 MELHOR NOTA)]])</f>
        <v/>
      </c>
      <c r="AO54" s="7" t="n">
        <v>151739</v>
      </c>
      <c r="AP54" s="64">
        <f>SUM(Tabela2[[#This Row],[Nota de Prioridade Quantitativa(NOTAS: 1 PIOR NOTA; 5 MELHOR NOTA)]],Tabela2[[#This Row],[Nota de Prioridade Qualitativa(NOTAS: 1 PIOR NOTA;  5 MELHOR NOTA)]])</f>
        <v/>
      </c>
      <c r="AQ54" s="7" t="n"/>
      <c r="AR54" s="64">
        <f>SUM(Tabela2[[#This Row],[Nota de Prioridade Quantitativa(NOTAS: 1 PIOR NOTA; 5 MELHOR NOTA)]],Tabela2[[#This Row],[Nota de Prioridade Qualitativa(NOTAS: 1 PIOR NOTA;  5 MELHOR NOTA)]])</f>
        <v/>
      </c>
      <c r="AS54" s="7" t="n"/>
      <c r="AZ54" s="20">
        <f t="array" ref="AZ54">StatusCarga(G54,H54,J54,K54)</f>
        <v/>
      </c>
      <c r="BA54" s="20">
        <f>IF(AZ54="CONFORME","CONFORME ✓","NÃO CONFORME ✗")</f>
        <v/>
      </c>
      <c r="BB54" t="n">
        <v>0</v>
      </c>
      <c r="BC54" t="n">
        <v>100</v>
      </c>
      <c r="BD54" t="n">
        <v>0</v>
      </c>
      <c r="BE54" t="n">
        <v>5</v>
      </c>
      <c r="BF54" t="inlineStr">
        <is>
          <t>CONFORME</t>
        </is>
      </c>
    </row>
    <row r="55" hidden="1" ht="21.75" customHeight="1" thickBot="1">
      <c r="A55" s="77" t="inlineStr">
        <is>
          <t>VGR</t>
        </is>
      </c>
      <c r="B55" s="77" t="inlineStr">
        <is>
          <t>Aboboras</t>
        </is>
      </c>
      <c r="C55" s="80" t="inlineStr">
        <is>
          <t>TE3301</t>
        </is>
      </c>
      <c r="D55" s="80" t="inlineStr">
        <is>
          <t>AFEX</t>
        </is>
      </c>
      <c r="E55" s="78" t="inlineStr">
        <is>
          <t>CATERPILLAR</t>
        </is>
      </c>
      <c r="F55" s="80" t="inlineStr">
        <is>
          <t>CAT D9T</t>
        </is>
      </c>
      <c r="G55" s="81">
        <f>IFERROR(IF(F55=$AB$2,"",VLOOKUP(F55,'DATASHEET EQUIPAMENTOS'!D:N,2,FALSE)),"")</f>
        <v/>
      </c>
      <c r="H55" s="82" t="inlineStr">
        <is>
          <t>2x30lbs</t>
        </is>
      </c>
      <c r="I55" s="57">
        <f>_xlfn.XLOOKUP(Tabela2[[#This Row],[Modelo]],'DATASHEET EQUIPAMENTOS'!D:D,'DATASHEET EQUIPAMENTOS'!P:P,"",0,1)</f>
        <v/>
      </c>
      <c r="J55" s="81">
        <f>IF(F55=$Z$2,"",VLOOKUP(F55,'DATASHEET EQUIPAMENTOS'!D:N,3,FALSE))</f>
        <v/>
      </c>
      <c r="K55" s="85" t="n">
        <v>0</v>
      </c>
      <c r="L55" s="95">
        <f>IF(AZ55="CONFORME","CONFORME ✓","NÃO CONFORME ✗")</f>
        <v/>
      </c>
      <c r="M55" s="102">
        <f>IF(F55=$Z$2,"",VLOOKUP(F55,'DATASHEET EQUIPAMENTOS'!D:N,4,FALSE))</f>
        <v/>
      </c>
      <c r="N55" s="103" t="n">
        <v>5</v>
      </c>
      <c r="O55" s="102">
        <f>IF(F55=$Z$2,"",VLOOKUP(F55,'DATASHEET EQUIPAMENTOS'!D:N,5,FALSE))</f>
        <v/>
      </c>
      <c r="P55" s="103" t="n">
        <v>2</v>
      </c>
      <c r="Q55" s="102">
        <f>IF(F55=$Z$2,"",VLOOKUP(F55,'DATASHEET EQUIPAMENTOS'!D:N,6,FALSE))</f>
        <v/>
      </c>
      <c r="R55" s="104" t="n">
        <v>1</v>
      </c>
      <c r="S55" s="95">
        <f>IF(Tabela2[[#This Row],[Instalado Sensor Motor]]="Linear","CONFORME ✓",IF(SUM(M55,O55,Q55)&lt;SUM(N55,P55,R55),"CONFORME ✓",IF(SUM(M55,O55,Q55)=SUM(N55,P55,R55),"CONFORME ✓","NÃO CONFORME ✗")))</f>
        <v/>
      </c>
      <c r="T55" s="91">
        <f>IF(F55=$Z$2,"",VLOOKUP(F55,'DATASHEET EQUIPAMENTOS'!D:N,7,FALSE))</f>
        <v/>
      </c>
      <c r="U55" s="57" t="n">
        <v>6</v>
      </c>
      <c r="V55" s="56">
        <f>IF(F55=$Z$2,"",VLOOKUP(F55,'DATASHEET EQUIPAMENTOS'!D:N,8,FALSE))</f>
        <v/>
      </c>
      <c r="W55" s="57" t="n">
        <v>6</v>
      </c>
      <c r="X55" s="56">
        <f>IF(F55=$Z$2,"",VLOOKUP(F55,'DATASHEET EQUIPAMENTOS'!D:N,9,FALSE))</f>
        <v/>
      </c>
      <c r="Y55" s="57" t="n">
        <v>1</v>
      </c>
      <c r="Z55" s="57">
        <f>IF(SUM(T55,V55,X55)&lt;=SUM(U55,W55,Y55),"CONFORME ✓",IF(SUM(T55,V55,X55)&gt;SUM(U55,W55,Y55),"NÃO CONFORME ✗"))</f>
        <v/>
      </c>
      <c r="AA55" s="56">
        <f>IF(F55=$Z$2,"",VLOOKUP(F55,'DATASHEET EQUIPAMENTOS'!D:N,10,FALSE))</f>
        <v/>
      </c>
      <c r="AB55" s="57" t="n"/>
      <c r="AC55" s="56">
        <f>IF(F55=$Z$2,"",VLOOKUP(F55,'DATASHEET EQUIPAMENTOS'!D:N,11,FALSE))</f>
        <v/>
      </c>
      <c r="AD55" s="57" t="n"/>
      <c r="AE55" s="56">
        <f>IF(F55=$Z$2,"",VLOOKUP(F55,'DATASHEET EQUIPAMENTOS'!D:O,12,FALSE))</f>
        <v/>
      </c>
      <c r="AF55" s="57" t="n"/>
      <c r="AG55" s="57">
        <f>IF(SUM(AA55,AC55,AE55)&lt;=SUM(AB55,AD55,AF55),"CONFORME ✓",IF(SUM(AA55,AC55,AE55)&gt;SUM(AB55,AD55,AF55),"NÃO CONFORME ✗"))</f>
        <v/>
      </c>
      <c r="AH55" s="72" t="n">
        <v>2.5</v>
      </c>
      <c r="AI55" s="72" t="n">
        <v>2.5</v>
      </c>
      <c r="AJ55" s="72" t="n">
        <v>5</v>
      </c>
      <c r="AK55" s="7" t="inlineStr">
        <is>
          <t>REPOSICIONAR CABOS DO SENSORES; REPOSICIONAR MANGUEIRAS E BICOS PQS</t>
        </is>
      </c>
      <c r="AL55" s="58">
        <f>IFERROR(CALCULOS!H50,"NECESSÁRIO REVISAR DATASHEET")</f>
        <v/>
      </c>
      <c r="AM5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5" s="64">
        <f>SUM(Tabela2[[#This Row],[Nota de Prioridade Quantitativa(NOTAS: 1 PIOR NOTA; 5 MELHOR NOTA)]],Tabela2[[#This Row],[Nota de Prioridade Qualitativa(NOTAS: 1 PIOR NOTA;  5 MELHOR NOTA)]])</f>
        <v/>
      </c>
      <c r="AO55" s="7" t="n">
        <v>152318</v>
      </c>
      <c r="AP55" s="64">
        <f>SUM(Tabela2[[#This Row],[Nota de Prioridade Quantitativa(NOTAS: 1 PIOR NOTA; 5 MELHOR NOTA)]],Tabela2[[#This Row],[Nota de Prioridade Qualitativa(NOTAS: 1 PIOR NOTA;  5 MELHOR NOTA)]])</f>
        <v/>
      </c>
      <c r="AQ55" s="7" t="n"/>
      <c r="AR55" s="64">
        <f>SUM(Tabela2[[#This Row],[Nota de Prioridade Quantitativa(NOTAS: 1 PIOR NOTA; 5 MELHOR NOTA)]],Tabela2[[#This Row],[Nota de Prioridade Qualitativa(NOTAS: 1 PIOR NOTA;  5 MELHOR NOTA)]])</f>
        <v/>
      </c>
      <c r="AS55" s="7" t="n"/>
      <c r="AZ55" s="20">
        <f t="array" ref="AZ55">StatusCarga(G55,H55,J55,K55)</f>
        <v/>
      </c>
      <c r="BA55" s="20">
        <f>IF(AZ55="CONFORME","CONFORME ✓","NÃO CONFORME ✗")</f>
        <v/>
      </c>
      <c r="BB55" t="n">
        <v>0</v>
      </c>
      <c r="BC55" t="n">
        <v>60</v>
      </c>
      <c r="BD55" t="n">
        <v>0</v>
      </c>
      <c r="BE55" t="n">
        <v>0</v>
      </c>
      <c r="BF55" t="inlineStr">
        <is>
          <t>CONFORME</t>
        </is>
      </c>
    </row>
    <row r="56" ht="21.75" customHeight="1" thickBot="1">
      <c r="A56" s="151" t="inlineStr">
        <is>
          <t>itabira</t>
        </is>
      </c>
      <c r="B56" s="77" t="inlineStr">
        <is>
          <t>Cauê</t>
        </is>
      </c>
      <c r="C56" s="80" t="inlineStr">
        <is>
          <t>CA65930</t>
        </is>
      </c>
      <c r="D56" s="80" t="inlineStr">
        <is>
          <t>AFEX</t>
        </is>
      </c>
      <c r="E56" s="78" t="inlineStr">
        <is>
          <t>CATERPILLAR</t>
        </is>
      </c>
      <c r="F56" s="80" t="inlineStr">
        <is>
          <t>CAT 793D</t>
        </is>
      </c>
      <c r="G56" s="81">
        <f>IFERROR(IF(F56=$AB$2,"",VLOOKUP(F56,'DATASHEET EQUIPAMENTOS'!D:N,2,FALSE)),"")</f>
        <v/>
      </c>
      <c r="H56" s="82" t="inlineStr">
        <is>
          <t>2x60lbs</t>
        </is>
      </c>
      <c r="I56" s="57">
        <f>_xlfn.XLOOKUP(Tabela2[[#This Row],[Modelo]],'DATASHEET EQUIPAMENTOS'!D:D,'DATASHEET EQUIPAMENTOS'!P:P,"",0,1)</f>
        <v/>
      </c>
      <c r="J56" s="81">
        <f>IF(F56=$Z$2,"",VLOOKUP(F56,'DATASHEET EQUIPAMENTOS'!D:N,3,FALSE))</f>
        <v/>
      </c>
      <c r="K56" s="85" t="n">
        <v>0</v>
      </c>
      <c r="L56" s="95">
        <f>IF(AZ56="CONFORME","CONFORME ✓","NÃO CONFORME ✗")</f>
        <v/>
      </c>
      <c r="M56" s="102">
        <f>IF(F56=$Z$2,"",VLOOKUP(F56,'DATASHEET EQUIPAMENTOS'!D:N,4,FALSE))</f>
        <v/>
      </c>
      <c r="N56" s="103" t="n">
        <v>6</v>
      </c>
      <c r="O56" s="102">
        <f>IF(F56=$Z$2,"",VLOOKUP(F56,'DATASHEET EQUIPAMENTOS'!D:N,5,FALSE))</f>
        <v/>
      </c>
      <c r="P56" s="103" t="n">
        <v>2</v>
      </c>
      <c r="Q56" s="102">
        <f>IF(F56=$Z$2,"",VLOOKUP(F56,'DATASHEET EQUIPAMENTOS'!D:N,6,FALSE))</f>
        <v/>
      </c>
      <c r="R56" s="104" t="n"/>
      <c r="S56" s="95">
        <f>IF(Tabela2[[#This Row],[Instalado Sensor Motor]]="Linear","CONFORME ✓",IF(SUM(M56,O56,Q56)&lt;SUM(N56,P56,R56),"CONFORME ✓",IF(SUM(M56,O56,Q56)=SUM(N56,P56,R56),"CONFORME ✓","NÃO CONFORME ✗")))</f>
        <v/>
      </c>
      <c r="T56" s="91">
        <f>IF(F56=$Z$2,"",VLOOKUP(F56,'DATASHEET EQUIPAMENTOS'!D:N,7,FALSE))</f>
        <v/>
      </c>
      <c r="U56" s="57" t="n">
        <v>18</v>
      </c>
      <c r="V56" s="56">
        <f>IF(F56=$Z$2,"",VLOOKUP(F56,'DATASHEET EQUIPAMENTOS'!D:N,8,FALSE))</f>
        <v/>
      </c>
      <c r="W56" s="57" t="n">
        <v>6</v>
      </c>
      <c r="X56" s="56">
        <f>IF(F56=$Z$2,"",VLOOKUP(F56,'DATASHEET EQUIPAMENTOS'!D:N,9,FALSE))</f>
        <v/>
      </c>
      <c r="Y56" s="57" t="n"/>
      <c r="Z56" s="57">
        <f>IF(SUM(T56,V56,X56)&lt;=SUM(U56,W56,Y56),"CONFORME ✓",IF(SUM(T56,V56,X56)&gt;SUM(U56,W56,Y56),"NÃO CONFORME ✗"))</f>
        <v/>
      </c>
      <c r="AA56" s="56">
        <f>IF(F56=$Z$2,"",VLOOKUP(F56,'DATASHEET EQUIPAMENTOS'!D:N,10,FALSE))</f>
        <v/>
      </c>
      <c r="AB56" s="57" t="n"/>
      <c r="AC56" s="56">
        <f>IF(F56=$Z$2,"",VLOOKUP(F56,'DATASHEET EQUIPAMENTOS'!D:N,11,FALSE))</f>
        <v/>
      </c>
      <c r="AD56" s="57" t="n"/>
      <c r="AE56" s="56">
        <f>IF(F56=$Z$2,"",VLOOKUP(F56,'DATASHEET EQUIPAMENTOS'!D:O,12,FALSE))</f>
        <v/>
      </c>
      <c r="AF56" s="57" t="n"/>
      <c r="AG56" s="57">
        <f>IF(SUM(AA56,AC56,AE56)&lt;=SUM(AB56,AD56,AF56),"CONFORME ✓",IF(SUM(AA56,AC56,AE56)&gt;SUM(AB56,AD56,AF56),"NÃO CONFORME ✗"))</f>
        <v/>
      </c>
      <c r="AH56" s="72" t="n">
        <v>3</v>
      </c>
      <c r="AI56" s="72" t="n">
        <v>4</v>
      </c>
      <c r="AJ56" s="72" t="n">
        <v>3.5</v>
      </c>
      <c r="AK56" s="7" t="inlineStr">
        <is>
          <t>Realizar alteração na fixação do acionador e do painel</t>
        </is>
      </c>
      <c r="AL56" s="58">
        <f>IFERROR(CALCULOS!H51,"NECESSÁRIO REVISAR DATASHEET")</f>
        <v/>
      </c>
      <c r="AM5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6" s="64">
        <f>SUM(Tabela2[[#This Row],[Nota de Prioridade Quantitativa(NOTAS: 1 PIOR NOTA; 5 MELHOR NOTA)]],Tabela2[[#This Row],[Nota de Prioridade Qualitativa(NOTAS: 1 PIOR NOTA;  5 MELHOR NOTA)]])</f>
        <v/>
      </c>
      <c r="AO56" s="7" t="n">
        <v>152745</v>
      </c>
      <c r="AP56" s="64">
        <f>SUM(Tabela2[[#This Row],[Nota de Prioridade Quantitativa(NOTAS: 1 PIOR NOTA; 5 MELHOR NOTA)]],Tabela2[[#This Row],[Nota de Prioridade Qualitativa(NOTAS: 1 PIOR NOTA;  5 MELHOR NOTA)]])</f>
        <v/>
      </c>
      <c r="AQ56" s="7" t="n"/>
      <c r="AR56" s="64">
        <f>SUM(Tabela2[[#This Row],[Nota de Prioridade Quantitativa(NOTAS: 1 PIOR NOTA; 5 MELHOR NOTA)]],Tabela2[[#This Row],[Nota de Prioridade Qualitativa(NOTAS: 1 PIOR NOTA;  5 MELHOR NOTA)]])</f>
        <v/>
      </c>
      <c r="AS56" s="7" t="n"/>
      <c r="AZ56" s="20">
        <f t="array" ref="AZ56">StatusCarga(G56,H56,J56,K56)</f>
        <v/>
      </c>
      <c r="BA56" s="20">
        <f>IF(AZ56="CONFORME","CONFORME ✓","NÃO CONFORME ✗")</f>
        <v/>
      </c>
      <c r="BB56" t="n">
        <v>0</v>
      </c>
      <c r="BC56" t="n">
        <v>120</v>
      </c>
      <c r="BD56" t="n">
        <v>0</v>
      </c>
      <c r="BE56" t="n">
        <v>0</v>
      </c>
      <c r="BF56" t="inlineStr">
        <is>
          <t>CONFORME</t>
        </is>
      </c>
    </row>
    <row r="57" ht="21.75" customHeight="1" thickBot="1">
      <c r="A57" s="151" t="inlineStr">
        <is>
          <t>itabira</t>
        </is>
      </c>
      <c r="B57" s="77" t="inlineStr">
        <is>
          <t>Cauê</t>
        </is>
      </c>
      <c r="C57" s="80" t="inlineStr">
        <is>
          <t>CA65791</t>
        </is>
      </c>
      <c r="D57" s="80" t="inlineStr">
        <is>
          <t>AFEX</t>
        </is>
      </c>
      <c r="E57" s="78" t="inlineStr">
        <is>
          <t>CATERPILLAR</t>
        </is>
      </c>
      <c r="F57" s="80" t="inlineStr">
        <is>
          <t>CAT 793D</t>
        </is>
      </c>
      <c r="G57" s="81">
        <f>IFERROR(IF(F57=$AB$2,"",VLOOKUP(F57,'DATASHEET EQUIPAMENTOS'!D:N,2,FALSE)),"")</f>
        <v/>
      </c>
      <c r="H57" s="82" t="inlineStr">
        <is>
          <t>2x60lbs</t>
        </is>
      </c>
      <c r="I57" s="57">
        <f>_xlfn.XLOOKUP(Tabela2[[#This Row],[Modelo]],'DATASHEET EQUIPAMENTOS'!D:D,'DATASHEET EQUIPAMENTOS'!P:P,"",0,1)</f>
        <v/>
      </c>
      <c r="J57" s="81">
        <f>IF(F57=$Z$2,"",VLOOKUP(F57,'DATASHEET EQUIPAMENTOS'!D:N,3,FALSE))</f>
        <v/>
      </c>
      <c r="K57" s="85" t="inlineStr">
        <is>
          <t>1x15gal</t>
        </is>
      </c>
      <c r="L57" s="95">
        <f>IF(AZ57="CONFORME","CONFORME ✓","NÃO CONFORME ✗")</f>
        <v/>
      </c>
      <c r="M57" s="102">
        <f>IF(F57=$Z$2,"",VLOOKUP(F57,'DATASHEET EQUIPAMENTOS'!D:N,4,FALSE))</f>
        <v/>
      </c>
      <c r="N57" s="103" t="n">
        <v>5</v>
      </c>
      <c r="O57" s="102">
        <f>IF(F57=$Z$2,"",VLOOKUP(F57,'DATASHEET EQUIPAMENTOS'!D:N,5,FALSE))</f>
        <v/>
      </c>
      <c r="P57" s="103" t="n">
        <v>3</v>
      </c>
      <c r="Q57" s="102">
        <f>IF(F57=$Z$2,"",VLOOKUP(F57,'DATASHEET EQUIPAMENTOS'!D:N,6,FALSE))</f>
        <v/>
      </c>
      <c r="R57" s="104" t="n"/>
      <c r="S57" s="95">
        <f>IF(Tabela2[[#This Row],[Instalado Sensor Motor]]="Linear","CONFORME ✓",IF(SUM(M57,O57,Q57)&lt;SUM(N57,P57,R57),"CONFORME ✓",IF(SUM(M57,O57,Q57)=SUM(N57,P57,R57),"CONFORME ✓","NÃO CONFORME ✗")))</f>
        <v/>
      </c>
      <c r="T57" s="91">
        <f>IF(F57=$Z$2,"",VLOOKUP(F57,'DATASHEET EQUIPAMENTOS'!D:N,7,FALSE))</f>
        <v/>
      </c>
      <c r="U57" s="57" t="n">
        <v>12</v>
      </c>
      <c r="V57" s="56">
        <f>IF(F57=$Z$2,"",VLOOKUP(F57,'DATASHEET EQUIPAMENTOS'!D:N,8,FALSE))</f>
        <v/>
      </c>
      <c r="W57" s="57" t="n">
        <v>12</v>
      </c>
      <c r="X57" s="56">
        <f>IF(F57=$Z$2,"",VLOOKUP(F57,'DATASHEET EQUIPAMENTOS'!D:N,9,FALSE))</f>
        <v/>
      </c>
      <c r="Y57" s="57" t="n"/>
      <c r="Z57" s="57">
        <f>IF(SUM(T57,V57,X57)&lt;=SUM(U57,W57,Y57),"CONFORME ✓",IF(SUM(T57,V57,X57)&gt;SUM(U57,W57,Y57),"NÃO CONFORME ✗"))</f>
        <v/>
      </c>
      <c r="AA57" s="56">
        <f>IF(F57=$Z$2,"",VLOOKUP(F57,'DATASHEET EQUIPAMENTOS'!D:N,10,FALSE))</f>
        <v/>
      </c>
      <c r="AB57" s="57" t="n">
        <v>6</v>
      </c>
      <c r="AC57" s="56">
        <f>IF(F57=$Z$2,"",VLOOKUP(F57,'DATASHEET EQUIPAMENTOS'!D:N,11,FALSE))</f>
        <v/>
      </c>
      <c r="AD57" s="57" t="n"/>
      <c r="AE57" s="56">
        <f>IF(F57=$Z$2,"",VLOOKUP(F57,'DATASHEET EQUIPAMENTOS'!D:O,12,FALSE))</f>
        <v/>
      </c>
      <c r="AF57" s="57" t="n"/>
      <c r="AG57" s="57">
        <f>IF(SUM(AA57,AC57,AE57)&lt;=SUM(AB57,AD57,AF57),"CONFORME ✓",IF(SUM(AA57,AC57,AE57)&gt;SUM(AB57,AD57,AF57),"NÃO CONFORME ✗"))</f>
        <v/>
      </c>
      <c r="AH57" s="72" t="n">
        <v>5</v>
      </c>
      <c r="AI57" s="72" t="n">
        <v>5</v>
      </c>
      <c r="AJ57" s="72" t="n">
        <v>4</v>
      </c>
      <c r="AK57" s="7" t="inlineStr">
        <is>
          <t>Realizar alteração na fixação do painel.</t>
        </is>
      </c>
      <c r="AL57" s="58">
        <f>IFERROR(CALCULOS!H52,"NECESSÁRIO REVISAR DATASHEET")</f>
        <v/>
      </c>
      <c r="AM5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7" s="64">
        <f>SUM(Tabela2[[#This Row],[Nota de Prioridade Quantitativa(NOTAS: 1 PIOR NOTA; 5 MELHOR NOTA)]],Tabela2[[#This Row],[Nota de Prioridade Qualitativa(NOTAS: 1 PIOR NOTA;  5 MELHOR NOTA)]])</f>
        <v/>
      </c>
      <c r="AO57" s="7" t="n">
        <v>152739</v>
      </c>
      <c r="AP57" s="64">
        <f>SUM(Tabela2[[#This Row],[Nota de Prioridade Quantitativa(NOTAS: 1 PIOR NOTA; 5 MELHOR NOTA)]],Tabela2[[#This Row],[Nota de Prioridade Qualitativa(NOTAS: 1 PIOR NOTA;  5 MELHOR NOTA)]])</f>
        <v/>
      </c>
      <c r="AQ57" s="7" t="n"/>
      <c r="AR57" s="64">
        <f>SUM(Tabela2[[#This Row],[Nota de Prioridade Quantitativa(NOTAS: 1 PIOR NOTA; 5 MELHOR NOTA)]],Tabela2[[#This Row],[Nota de Prioridade Qualitativa(NOTAS: 1 PIOR NOTA;  5 MELHOR NOTA)]])</f>
        <v/>
      </c>
      <c r="AS57" s="7" t="n"/>
      <c r="AZ57" s="20">
        <f t="array" ref="AZ57">StatusCarga(G57,H57,J57,K57)</f>
        <v/>
      </c>
      <c r="BA57" s="20">
        <f>IF(AZ57="CONFORME","CONFORME ✓","NÃO CONFORME ✗")</f>
        <v/>
      </c>
      <c r="BB57" t="n">
        <v>0</v>
      </c>
      <c r="BC57" t="n">
        <v>120</v>
      </c>
      <c r="BD57" t="n">
        <v>0</v>
      </c>
      <c r="BE57" t="n">
        <v>15</v>
      </c>
      <c r="BF57" t="inlineStr">
        <is>
          <t>CONFORME</t>
        </is>
      </c>
    </row>
    <row r="58" ht="21.75" customHeight="1" thickBot="1">
      <c r="A58" s="151" t="inlineStr">
        <is>
          <t>itabira</t>
        </is>
      </c>
      <c r="B58" s="77" t="inlineStr">
        <is>
          <t>Cauê</t>
        </is>
      </c>
      <c r="C58" s="61" t="inlineStr">
        <is>
          <t>CA70951</t>
        </is>
      </c>
      <c r="D58" s="80" t="inlineStr">
        <is>
          <t>AFEX</t>
        </is>
      </c>
      <c r="E58" s="78" t="inlineStr">
        <is>
          <t>CATERPILLAR</t>
        </is>
      </c>
      <c r="F58" s="80" t="inlineStr">
        <is>
          <t>CAT 793F</t>
        </is>
      </c>
      <c r="G58" s="81">
        <f>IFERROR(IF(F58=$AB$2,"",VLOOKUP(F58,'DATASHEET EQUIPAMENTOS'!D:N,2,FALSE)),"")</f>
        <v/>
      </c>
      <c r="H58" s="82" t="inlineStr">
        <is>
          <t>2x60lbs</t>
        </is>
      </c>
      <c r="I58" s="57">
        <f>_xlfn.XLOOKUP(Tabela2[[#This Row],[Modelo]],'DATASHEET EQUIPAMENTOS'!D:D,'DATASHEET EQUIPAMENTOS'!P:P,"",0,1)</f>
        <v/>
      </c>
      <c r="J58" s="81">
        <f>IF(F58=$Z$2,"",VLOOKUP(F58,'DATASHEET EQUIPAMENTOS'!D:N,3,FALSE))</f>
        <v/>
      </c>
      <c r="K58" s="85" t="inlineStr">
        <is>
          <t>2x5gal</t>
        </is>
      </c>
      <c r="L58" s="95">
        <f>IF(AZ58="CONFORME","CONFORME ✓","NÃO CONFORME ✗")</f>
        <v/>
      </c>
      <c r="M58" s="102">
        <f>IF(F58=$Z$2,"",VLOOKUP(F58,'DATASHEET EQUIPAMENTOS'!D:N,4,FALSE))</f>
        <v/>
      </c>
      <c r="N58" s="103" t="n">
        <v>6</v>
      </c>
      <c r="O58" s="102">
        <f>IF(F58=$Z$2,"",VLOOKUP(F58,'DATASHEET EQUIPAMENTOS'!D:N,5,FALSE))</f>
        <v/>
      </c>
      <c r="P58" s="103" t="n">
        <v>3</v>
      </c>
      <c r="Q58" s="102">
        <f>IF(F58=$Z$2,"",VLOOKUP(F58,'DATASHEET EQUIPAMENTOS'!D:N,6,FALSE))</f>
        <v/>
      </c>
      <c r="R58" s="104" t="n">
        <v>1</v>
      </c>
      <c r="S58" s="95">
        <f>IF(Tabela2[[#This Row],[Instalado Sensor Motor]]="Linear","CONFORME ✓",IF(SUM(M58,O58,Q58)&lt;SUM(N58,P58,R58),"CONFORME ✓",IF(SUM(M58,O58,Q58)=SUM(N58,P58,R58),"CONFORME ✓","NÃO CONFORME ✗")))</f>
        <v/>
      </c>
      <c r="T58" s="91">
        <f>IF(F58=$Z$2,"",VLOOKUP(F58,'DATASHEET EQUIPAMENTOS'!D:N,7,FALSE))</f>
        <v/>
      </c>
      <c r="U58" s="57" t="n">
        <v>18</v>
      </c>
      <c r="V58" s="56">
        <f>IF(F58=$Z$2,"",VLOOKUP(F58,'DATASHEET EQUIPAMENTOS'!D:N,8,FALSE))</f>
        <v/>
      </c>
      <c r="W58" s="62" t="n">
        <v>4</v>
      </c>
      <c r="X58" s="56">
        <f>IF(F58=$Z$2,"",VLOOKUP(F58,'DATASHEET EQUIPAMENTOS'!D:N,9,FALSE))</f>
        <v/>
      </c>
      <c r="Y58" s="62" t="n">
        <v>2</v>
      </c>
      <c r="Z58" s="57">
        <f>IF(SUM(T58,V58,X58)&lt;=SUM(U58,W58,Y58),"CONFORME ✓",IF(SUM(T58,V58,X58)&gt;SUM(U58,W58,Y58),"NÃO CONFORME ✗"))</f>
        <v/>
      </c>
      <c r="AA58" s="56">
        <f>IF(F58=$Z$2,"",VLOOKUP(F58,'DATASHEET EQUIPAMENTOS'!D:N,10,FALSE))</f>
        <v/>
      </c>
      <c r="AB58" s="57" t="n">
        <v>4</v>
      </c>
      <c r="AC58" s="56">
        <f>IF(F58=$Z$2,"",VLOOKUP(F58,'DATASHEET EQUIPAMENTOS'!D:N,11,FALSE))</f>
        <v/>
      </c>
      <c r="AD58" s="57" t="n"/>
      <c r="AE58" s="56">
        <f>IF(F58=$Z$2,"",VLOOKUP(F58,'DATASHEET EQUIPAMENTOS'!D:O,12,FALSE))</f>
        <v/>
      </c>
      <c r="AF58" s="57" t="n"/>
      <c r="AG58" s="57">
        <f>IF(SUM(AA58,AC58,AE58)&lt;=SUM(AB58,AD58,AF58),"CONFORME ✓",IF(SUM(AA58,AC58,AE58)&gt;SUM(AB58,AD58,AF58),"NÃO CONFORME ✗"))</f>
        <v/>
      </c>
      <c r="AH58" s="72" t="n">
        <v>3</v>
      </c>
      <c r="AI58" s="72" t="n">
        <v>3.5</v>
      </c>
      <c r="AJ58" s="72" t="n">
        <v>3</v>
      </c>
      <c r="AK58" s="7" t="inlineStr">
        <is>
          <t>Adequar Sistema  eletrico cabo sensor. Repocisionar atuador e painel da cabine, pois esta montado fora da visão do operador</t>
        </is>
      </c>
      <c r="AL58" s="58">
        <f>IFERROR(CALCULOS!H53,"NECESSÁRIO REVISAR DATASHEET")</f>
        <v/>
      </c>
      <c r="AM5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8" s="64">
        <f>SUM(Tabela2[[#This Row],[Nota de Prioridade Quantitativa(NOTAS: 1 PIOR NOTA; 5 MELHOR NOTA)]],Tabela2[[#This Row],[Nota de Prioridade Qualitativa(NOTAS: 1 PIOR NOTA;  5 MELHOR NOTA)]])</f>
        <v/>
      </c>
      <c r="AO58" s="7" t="n">
        <v>152735</v>
      </c>
      <c r="AP58" s="64">
        <f>SUM(Tabela2[[#This Row],[Nota de Prioridade Quantitativa(NOTAS: 1 PIOR NOTA; 5 MELHOR NOTA)]],Tabela2[[#This Row],[Nota de Prioridade Qualitativa(NOTAS: 1 PIOR NOTA;  5 MELHOR NOTA)]])</f>
        <v/>
      </c>
      <c r="AQ58" s="7" t="n"/>
      <c r="AR58" s="64">
        <f>SUM(Tabela2[[#This Row],[Nota de Prioridade Quantitativa(NOTAS: 1 PIOR NOTA; 5 MELHOR NOTA)]],Tabela2[[#This Row],[Nota de Prioridade Qualitativa(NOTAS: 1 PIOR NOTA;  5 MELHOR NOTA)]])</f>
        <v/>
      </c>
      <c r="AS58" s="7" t="n"/>
      <c r="AZ58" s="20">
        <f t="array" ref="AZ58">StatusCarga(G58,H58,J58,K58)</f>
        <v/>
      </c>
      <c r="BA58" s="20">
        <f>IF(AZ58="CONFORME","CONFORME ✓","NÃO CONFORME ✗")</f>
        <v/>
      </c>
      <c r="BB58" t="n">
        <v>0</v>
      </c>
      <c r="BC58" t="n">
        <v>120</v>
      </c>
      <c r="BD58" t="n">
        <v>0</v>
      </c>
      <c r="BE58" t="n">
        <v>10</v>
      </c>
      <c r="BF58" t="inlineStr">
        <is>
          <t>CONFORME</t>
        </is>
      </c>
    </row>
    <row r="59" hidden="1" ht="21.75" customHeight="1" thickBot="1">
      <c r="A59" s="77" t="inlineStr">
        <is>
          <t>Paraoupeba</t>
        </is>
      </c>
      <c r="B59" s="77" t="inlineStr">
        <is>
          <t>Jangada</t>
        </is>
      </c>
      <c r="C59" s="80" t="inlineStr">
        <is>
          <t>RP2203</t>
        </is>
      </c>
      <c r="D59" s="80" t="inlineStr">
        <is>
          <t>KIDDE</t>
        </is>
      </c>
      <c r="E59" s="78" t="inlineStr">
        <is>
          <t>CATERPILLAR</t>
        </is>
      </c>
      <c r="F59" s="80" t="inlineStr">
        <is>
          <t>cat 416E</t>
        </is>
      </c>
      <c r="G59" s="81">
        <f>IFERROR(IF(F59=$AB$2,"",VLOOKUP(F59,'DATASHEET EQUIPAMENTOS'!D:N,2,FALSE)),"")</f>
        <v/>
      </c>
      <c r="H59" s="82" t="inlineStr">
        <is>
          <t>1x25lbs</t>
        </is>
      </c>
      <c r="I59" s="57">
        <f>_xlfn.XLOOKUP(Tabela2[[#This Row],[Modelo]],'DATASHEET EQUIPAMENTOS'!D:D,'DATASHEET EQUIPAMENTOS'!P:P,"",0,1)</f>
        <v/>
      </c>
      <c r="J59" s="81">
        <f>IF(F59=$Z$2,"",VLOOKUP(F59,'DATASHEET EQUIPAMENTOS'!D:N,3,FALSE))</f>
        <v/>
      </c>
      <c r="K59" s="85" t="n">
        <v>0</v>
      </c>
      <c r="L59" s="95">
        <f>IF(AZ59="CONFORME","CONFORME ✓","NÃO CONFORME ✗")</f>
        <v/>
      </c>
      <c r="M59" s="102">
        <f>IF(F59=$Z$2,"",VLOOKUP(F59,'DATASHEET EQUIPAMENTOS'!D:N,4,FALSE))</f>
        <v/>
      </c>
      <c r="N59" s="103" t="inlineStr">
        <is>
          <t>Linear</t>
        </is>
      </c>
      <c r="O59" s="102">
        <f>IF(F59=$Z$2,"",VLOOKUP(F59,'DATASHEET EQUIPAMENTOS'!D:N,5,FALSE))</f>
        <v/>
      </c>
      <c r="P59" s="103" t="n"/>
      <c r="Q59" s="102">
        <f>IF(F59=$Z$2,"",VLOOKUP(F59,'DATASHEET EQUIPAMENTOS'!D:N,6,FALSE))</f>
        <v/>
      </c>
      <c r="R59" s="104" t="n"/>
      <c r="S59" s="95">
        <f>IF(Tabela2[[#This Row],[Instalado Sensor Motor]]="Linear","CONFORME ✓",IF(SUM(M59,O59,Q59)&lt;SUM(N59,P59,R59),"CONFORME ✓",IF(SUM(M59,O59,Q59)=SUM(N59,P59,R59),"CONFORME ✓","NÃO CONFORME ✗")))</f>
        <v/>
      </c>
      <c r="T59" s="91">
        <f>IF(F59=$Z$2,"",VLOOKUP(F59,'DATASHEET EQUIPAMENTOS'!D:N,7,FALSE))</f>
        <v/>
      </c>
      <c r="U59" s="57" t="n">
        <v>6</v>
      </c>
      <c r="V59" s="56">
        <f>IF(F59=$Z$2,"",VLOOKUP(F59,'DATASHEET EQUIPAMENTOS'!D:N,8,FALSE))</f>
        <v/>
      </c>
      <c r="W59" s="57" t="n"/>
      <c r="X59" s="56">
        <f>IF(F59=$Z$2,"",VLOOKUP(F59,'DATASHEET EQUIPAMENTOS'!D:N,9,FALSE))</f>
        <v/>
      </c>
      <c r="Y59" s="57" t="n"/>
      <c r="Z59" s="57">
        <f>IF(SUM(T59,V59,X59)&lt;=SUM(U59,W59,Y59),"CONFORME ✓",IF(SUM(T59,V59,X59)&gt;SUM(U59,W59,Y59),"NÃO CONFORME ✗"))</f>
        <v/>
      </c>
      <c r="AA59" s="56">
        <f>IF(F59=$Z$2,"",VLOOKUP(F59,'DATASHEET EQUIPAMENTOS'!D:N,10,FALSE))</f>
        <v/>
      </c>
      <c r="AB59" s="57" t="n"/>
      <c r="AC59" s="56">
        <f>IF(F59=$Z$2,"",VLOOKUP(F59,'DATASHEET EQUIPAMENTOS'!D:N,11,FALSE))</f>
        <v/>
      </c>
      <c r="AD59" s="57" t="n"/>
      <c r="AE59" s="56">
        <f>IF(F59=$Z$2,"",VLOOKUP(F59,'DATASHEET EQUIPAMENTOS'!D:O,12,FALSE))</f>
        <v/>
      </c>
      <c r="AF59" s="57" t="n"/>
      <c r="AG59" s="57">
        <f>IF(SUM(AA59,AC59,AE59)&lt;=SUM(AB59,AD59,AF59),"CONFORME ✓",IF(SUM(AA59,AC59,AE59)&gt;SUM(AB59,AD59,AF59),"NÃO CONFORME ✗"))</f>
        <v/>
      </c>
      <c r="AH59" s="72" t="n"/>
      <c r="AI59" s="72" t="n"/>
      <c r="AJ59" s="72" t="n"/>
      <c r="AK59" s="7" t="inlineStr">
        <is>
          <t>FOI REALIZADO ANALISE DE LAYOUTS SCI</t>
        </is>
      </c>
      <c r="AL59" s="58">
        <f>IFERROR(CALCULOS!H54,"NECESSÁRIO REVISAR DATASHEET")</f>
        <v/>
      </c>
      <c r="AM5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59" s="64">
        <f>SUM(Tabela2[[#This Row],[Nota de Prioridade Quantitativa(NOTAS: 1 PIOR NOTA; 5 MELHOR NOTA)]],Tabela2[[#This Row],[Nota de Prioridade Qualitativa(NOTAS: 1 PIOR NOTA;  5 MELHOR NOTA)]])</f>
        <v/>
      </c>
      <c r="AO59" s="7" t="n">
        <v>152027</v>
      </c>
      <c r="AP59" s="64">
        <f>SUM(Tabela2[[#This Row],[Nota de Prioridade Quantitativa(NOTAS: 1 PIOR NOTA; 5 MELHOR NOTA)]],Tabela2[[#This Row],[Nota de Prioridade Qualitativa(NOTAS: 1 PIOR NOTA;  5 MELHOR NOTA)]])</f>
        <v/>
      </c>
      <c r="AQ59" s="7" t="n"/>
      <c r="AR59" s="64">
        <f>SUM(Tabela2[[#This Row],[Nota de Prioridade Quantitativa(NOTAS: 1 PIOR NOTA; 5 MELHOR NOTA)]],Tabela2[[#This Row],[Nota de Prioridade Qualitativa(NOTAS: 1 PIOR NOTA;  5 MELHOR NOTA)]])</f>
        <v/>
      </c>
      <c r="AS59" s="7" t="n"/>
      <c r="AZ59" s="20">
        <f t="array" ref="AZ59">StatusCarga(G59,H59,J59,K59)</f>
        <v/>
      </c>
      <c r="BA59" s="20">
        <f>IF(AZ59="CONFORME","CONFORME ✓","NÃO CONFORME ✗")</f>
        <v/>
      </c>
      <c r="BB59" t="n">
        <v>0</v>
      </c>
      <c r="BC59" t="n">
        <v>25</v>
      </c>
      <c r="BD59" t="n">
        <v>0</v>
      </c>
      <c r="BE59" t="n">
        <v>0</v>
      </c>
      <c r="BF59" t="inlineStr">
        <is>
          <t>CONFORME</t>
        </is>
      </c>
    </row>
    <row r="60" hidden="1" ht="21.75" customHeight="1" thickBot="1">
      <c r="A60" s="77" t="inlineStr">
        <is>
          <t>VGR</t>
        </is>
      </c>
      <c r="B60" s="77" t="inlineStr">
        <is>
          <t>Pico</t>
        </is>
      </c>
      <c r="C60" s="80" t="inlineStr">
        <is>
          <t>CA5408</t>
        </is>
      </c>
      <c r="D60" s="80" t="inlineStr">
        <is>
          <t>AFEX</t>
        </is>
      </c>
      <c r="E60" s="78" t="inlineStr">
        <is>
          <t>CATERPILLAR</t>
        </is>
      </c>
      <c r="F60" s="80" t="inlineStr">
        <is>
          <t>cat 785C</t>
        </is>
      </c>
      <c r="G60" s="81">
        <f>IFERROR(IF(F60=$AB$2,"",VLOOKUP(F60,'DATASHEET EQUIPAMENTOS'!D:N,2,FALSE)),"")</f>
        <v/>
      </c>
      <c r="H60" s="82" t="inlineStr">
        <is>
          <t>3x30lbs</t>
        </is>
      </c>
      <c r="I60" s="57">
        <f>_xlfn.XLOOKUP(Tabela2[[#This Row],[Modelo]],'DATASHEET EQUIPAMENTOS'!D:D,'DATASHEET EQUIPAMENTOS'!P:P,"",0,1)</f>
        <v/>
      </c>
      <c r="J60" s="81">
        <f>IF(F60=$Z$2,"",VLOOKUP(F60,'DATASHEET EQUIPAMENTOS'!D:N,3,FALSE))</f>
        <v/>
      </c>
      <c r="K60" s="85" t="n">
        <v>0</v>
      </c>
      <c r="L60" s="95">
        <f>IF(AZ60="CONFORME","CONFORME ✓","NÃO CONFORME ✗")</f>
        <v/>
      </c>
      <c r="M60" s="102">
        <f>IF(F60=$Z$2,"",VLOOKUP(F60,'DATASHEET EQUIPAMENTOS'!D:N,4,FALSE))</f>
        <v/>
      </c>
      <c r="N60" s="103" t="n">
        <v>5</v>
      </c>
      <c r="O60" s="102">
        <f>IF(F60=$Z$2,"",VLOOKUP(F60,'DATASHEET EQUIPAMENTOS'!D:N,5,FALSE))</f>
        <v/>
      </c>
      <c r="P60" s="103" t="n">
        <v>1</v>
      </c>
      <c r="Q60" s="102">
        <f>IF(F60=$Z$2,"",VLOOKUP(F60,'DATASHEET EQUIPAMENTOS'!D:N,6,FALSE))</f>
        <v/>
      </c>
      <c r="R60" s="104" t="n">
        <v>1</v>
      </c>
      <c r="S60" s="95">
        <f>IF(Tabela2[[#This Row],[Instalado Sensor Motor]]="Linear","CONFORME ✓",IF(SUM(M60,O60,Q60)&lt;SUM(N60,P60,R60),"CONFORME ✓",IF(SUM(M60,O60,Q60)=SUM(N60,P60,R60),"CONFORME ✓","NÃO CONFORME ✗")))</f>
        <v/>
      </c>
      <c r="T60" s="91">
        <f>IF(F60=$Z$2,"",VLOOKUP(F60,'DATASHEET EQUIPAMENTOS'!D:N,7,FALSE))</f>
        <v/>
      </c>
      <c r="U60" s="57" t="n">
        <v>12</v>
      </c>
      <c r="V60" s="56">
        <f>IF(F60=$Z$2,"",VLOOKUP(F60,'DATASHEET EQUIPAMENTOS'!D:N,8,FALSE))</f>
        <v/>
      </c>
      <c r="W60" s="57" t="n">
        <v>3</v>
      </c>
      <c r="X60" s="56">
        <f>IF(F60=$Z$2,"",VLOOKUP(F60,'DATASHEET EQUIPAMENTOS'!D:N,9,FALSE))</f>
        <v/>
      </c>
      <c r="Y60" s="57" t="n">
        <v>3</v>
      </c>
      <c r="Z60" s="57">
        <f>IF(SUM(T60,V60,X60)&lt;=SUM(U60,W60,Y60),"CONFORME ✓",IF(SUM(T60,V60,X60)&gt;SUM(U60,W60,Y60),"NÃO CONFORME ✗"))</f>
        <v/>
      </c>
      <c r="AA60" s="56">
        <f>IF(F60=$Z$2,"",VLOOKUP(F60,'DATASHEET EQUIPAMENTOS'!D:N,10,FALSE))</f>
        <v/>
      </c>
      <c r="AB60" s="57" t="n"/>
      <c r="AC60" s="56">
        <f>IF(F60=$Z$2,"",VLOOKUP(F60,'DATASHEET EQUIPAMENTOS'!D:N,11,FALSE))</f>
        <v/>
      </c>
      <c r="AD60" s="57" t="n"/>
      <c r="AE60" s="56">
        <f>IF(F60=$Z$2,"",VLOOKUP(F60,'DATASHEET EQUIPAMENTOS'!D:O,12,FALSE))</f>
        <v/>
      </c>
      <c r="AF60" s="57" t="n"/>
      <c r="AG60" s="57">
        <f>IF(SUM(AA60,AC60,AE60)&lt;=SUM(AB60,AD60,AF60),"CONFORME ✓",IF(SUM(AA60,AC60,AE60)&gt;SUM(AB60,AD60,AF60),"NÃO CONFORME ✗"))</f>
        <v/>
      </c>
      <c r="AH60" s="72" t="n">
        <v>3</v>
      </c>
      <c r="AI60" s="72" t="n">
        <v>3</v>
      </c>
      <c r="AJ60" s="72" t="n">
        <v>5</v>
      </c>
      <c r="AK60" s="7" t="inlineStr">
        <is>
          <t>SEM AGENTE LIQUIDO, FAZER ADEQUAÇÕES NAS LINHAS DE CABOS E MANGUEIRAS</t>
        </is>
      </c>
      <c r="AL60" s="58">
        <f>IFERROR(CALCULOS!H55,"NECESSÁRIO REVISAR DATASHEET")</f>
        <v/>
      </c>
      <c r="AM6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0" s="64">
        <f>SUM(Tabela2[[#This Row],[Nota de Prioridade Quantitativa(NOTAS: 1 PIOR NOTA; 5 MELHOR NOTA)]],Tabela2[[#This Row],[Nota de Prioridade Qualitativa(NOTAS: 1 PIOR NOTA;  5 MELHOR NOTA)]])</f>
        <v/>
      </c>
      <c r="AO60" s="7" t="n">
        <v>152236</v>
      </c>
      <c r="AP60" s="64">
        <f>SUM(Tabela2[[#This Row],[Nota de Prioridade Quantitativa(NOTAS: 1 PIOR NOTA; 5 MELHOR NOTA)]],Tabela2[[#This Row],[Nota de Prioridade Qualitativa(NOTAS: 1 PIOR NOTA;  5 MELHOR NOTA)]])</f>
        <v/>
      </c>
      <c r="AQ60" s="7" t="n"/>
      <c r="AR60" s="64">
        <f>SUM(Tabela2[[#This Row],[Nota de Prioridade Quantitativa(NOTAS: 1 PIOR NOTA; 5 MELHOR NOTA)]],Tabela2[[#This Row],[Nota de Prioridade Qualitativa(NOTAS: 1 PIOR NOTA;  5 MELHOR NOTA)]])</f>
        <v/>
      </c>
      <c r="AS60" s="7" t="n"/>
      <c r="AZ60" s="20">
        <f t="array" ref="AZ60">StatusCarga(G60,H60,J60,K60)</f>
        <v/>
      </c>
      <c r="BA60" s="20">
        <f>IF(AZ60="CONFORME","CONFORME ✓","NÃO CONFORME ✗")</f>
        <v/>
      </c>
      <c r="BB60" t="n">
        <v>0</v>
      </c>
      <c r="BC60" t="n">
        <v>90</v>
      </c>
      <c r="BD60" t="n">
        <v>0</v>
      </c>
      <c r="BE60" t="n">
        <v>0</v>
      </c>
      <c r="BF60" t="inlineStr">
        <is>
          <t>CONFORME</t>
        </is>
      </c>
    </row>
    <row r="61" hidden="1" ht="21.75" customHeight="1" thickBot="1">
      <c r="A61" s="77" t="inlineStr">
        <is>
          <t>Mariana</t>
        </is>
      </c>
      <c r="B61" s="77" t="inlineStr">
        <is>
          <t>Fazendão</t>
        </is>
      </c>
      <c r="C61" s="80" t="inlineStr">
        <is>
          <t>PM3705</t>
        </is>
      </c>
      <c r="D61" s="80" t="inlineStr">
        <is>
          <t>AFEX</t>
        </is>
      </c>
      <c r="E61" s="78" t="inlineStr">
        <is>
          <t>CATERPILLAR</t>
        </is>
      </c>
      <c r="F61" s="80" t="inlineStr">
        <is>
          <t>CAT 992K</t>
        </is>
      </c>
      <c r="G61" s="81">
        <f>IFERROR(IF(F61=$AB$2,"",VLOOKUP(F61,'DATASHEET EQUIPAMENTOS'!D:N,2,FALSE)),"")</f>
        <v/>
      </c>
      <c r="H61" s="82" t="inlineStr">
        <is>
          <t>2x60lbs</t>
        </is>
      </c>
      <c r="I61" s="57">
        <f>_xlfn.XLOOKUP(Tabela2[[#This Row],[Modelo]],'DATASHEET EQUIPAMENTOS'!D:D,'DATASHEET EQUIPAMENTOS'!P:P,"",0,1)</f>
        <v/>
      </c>
      <c r="J61" s="81">
        <f>IF(F61=$Z$2,"",VLOOKUP(F61,'DATASHEET EQUIPAMENTOS'!D:N,3,FALSE))</f>
        <v/>
      </c>
      <c r="K61" s="85" t="inlineStr">
        <is>
          <t>1x5gal</t>
        </is>
      </c>
      <c r="L61" s="95">
        <f>IF(AZ61="CONFORME","CONFORME ✓","NÃO CONFORME ✗")</f>
        <v/>
      </c>
      <c r="M61" s="102">
        <f>IF(F61=$Z$2,"",VLOOKUP(F61,'DATASHEET EQUIPAMENTOS'!D:N,4,FALSE))</f>
        <v/>
      </c>
      <c r="N61" s="103" t="n">
        <v>5</v>
      </c>
      <c r="O61" s="102">
        <f>IF(F61=$Z$2,"",VLOOKUP(F61,'DATASHEET EQUIPAMENTOS'!D:N,5,FALSE))</f>
        <v/>
      </c>
      <c r="P61" s="103" t="n">
        <v>3</v>
      </c>
      <c r="Q61" s="102">
        <f>IF(F61=$Z$2,"",VLOOKUP(F61,'DATASHEET EQUIPAMENTOS'!D:N,6,FALSE))</f>
        <v/>
      </c>
      <c r="R61" s="104" t="n">
        <v>1</v>
      </c>
      <c r="S61" s="95">
        <f>IF(Tabela2[[#This Row],[Instalado Sensor Motor]]="Linear","CONFORME ✓",IF(SUM(M61,O61,Q61)&lt;SUM(N61,P61,R61),"CONFORME ✓",IF(SUM(M61,O61,Q61)=SUM(N61,P61,R61),"CONFORME ✓","NÃO CONFORME ✗")))</f>
        <v/>
      </c>
      <c r="T61" s="91">
        <f>IF(F61=$Z$2,"",VLOOKUP(F61,'DATASHEET EQUIPAMENTOS'!D:N,7,FALSE))</f>
        <v/>
      </c>
      <c r="U61" s="57" t="n">
        <v>10</v>
      </c>
      <c r="V61" s="56">
        <f>IF(F61=$Z$2,"",VLOOKUP(F61,'DATASHEET EQUIPAMENTOS'!D:N,8,FALSE))</f>
        <v/>
      </c>
      <c r="W61" s="57" t="n">
        <v>4</v>
      </c>
      <c r="X61" s="56">
        <f>IF(F61=$Z$2,"",VLOOKUP(F61,'DATASHEET EQUIPAMENTOS'!D:N,9,FALSE))</f>
        <v/>
      </c>
      <c r="Y61" s="57" t="n">
        <v>3</v>
      </c>
      <c r="Z61" s="57">
        <f>IF(SUM(T61,V61,X61)&lt;=SUM(U61,W61,Y61),"CONFORME ✓",IF(SUM(T61,V61,X61)&gt;SUM(U61,W61,Y61),"NÃO CONFORME ✗"))</f>
        <v/>
      </c>
      <c r="AA61" s="56">
        <f>IF(F61=$Z$2,"",VLOOKUP(F61,'DATASHEET EQUIPAMENTOS'!D:N,10,FALSE))</f>
        <v/>
      </c>
      <c r="AB61" s="57" t="n">
        <v>4</v>
      </c>
      <c r="AC61" s="56">
        <f>IF(F61=$Z$2,"",VLOOKUP(F61,'DATASHEET EQUIPAMENTOS'!D:N,11,FALSE))</f>
        <v/>
      </c>
      <c r="AD61" s="57" t="n"/>
      <c r="AE61" s="56">
        <f>IF(F61=$Z$2,"",VLOOKUP(F61,'DATASHEET EQUIPAMENTOS'!D:O,12,FALSE))</f>
        <v/>
      </c>
      <c r="AF61" s="57" t="n"/>
      <c r="AG61" s="57">
        <f>IF(SUM(AA61,AC61,AE61)&lt;=SUM(AB61,AD61,AF61),"CONFORME ✓",IF(SUM(AA61,AC61,AE61)&gt;SUM(AB61,AD61,AF61),"NÃO CONFORME ✗"))</f>
        <v/>
      </c>
      <c r="AH61" s="72" t="n">
        <v>3</v>
      </c>
      <c r="AI61" s="72" t="n">
        <v>2.5</v>
      </c>
      <c r="AJ61" s="72" t="n">
        <v>3.5</v>
      </c>
      <c r="AK61" s="7" t="inlineStr">
        <is>
          <t>REFAZER ROTAS E FIXAÇÕES DOS CABEAMENTOS DOS SENSORES E MANGUEIRAS; DEFINIR LOCAL DE FIXAÇÃO DO PAÍNEL E ALTERAR SE NECESSÁRIO</t>
        </is>
      </c>
      <c r="AL61" s="58">
        <f>IFERROR(CALCULOS!H56,"NECESSÁRIO REVISAR DATASHEET")</f>
        <v/>
      </c>
      <c r="AM6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1" s="64">
        <f>SUM(Tabela2[[#This Row],[Nota de Prioridade Quantitativa(NOTAS: 1 PIOR NOTA; 5 MELHOR NOTA)]],Tabela2[[#This Row],[Nota de Prioridade Qualitativa(NOTAS: 1 PIOR NOTA;  5 MELHOR NOTA)]])</f>
        <v/>
      </c>
      <c r="AO61" s="7" t="n">
        <v>152626</v>
      </c>
      <c r="AP61" s="64">
        <f>SUM(Tabela2[[#This Row],[Nota de Prioridade Quantitativa(NOTAS: 1 PIOR NOTA; 5 MELHOR NOTA)]],Tabela2[[#This Row],[Nota de Prioridade Qualitativa(NOTAS: 1 PIOR NOTA;  5 MELHOR NOTA)]])</f>
        <v/>
      </c>
      <c r="AQ61" s="7" t="n"/>
      <c r="AR61" s="64">
        <f>SUM(Tabela2[[#This Row],[Nota de Prioridade Quantitativa(NOTAS: 1 PIOR NOTA; 5 MELHOR NOTA)]],Tabela2[[#This Row],[Nota de Prioridade Qualitativa(NOTAS: 1 PIOR NOTA;  5 MELHOR NOTA)]])</f>
        <v/>
      </c>
      <c r="AS61" s="7" t="n"/>
      <c r="AZ61" s="20">
        <f t="array" ref="AZ61">StatusCarga(G61,H61,J61,K61)</f>
        <v/>
      </c>
      <c r="BA61" s="20">
        <f>IF(AZ61="CONFORME","CONFORME ✓","NÃO CONFORME ✗")</f>
        <v/>
      </c>
      <c r="BB61" t="n">
        <v>0</v>
      </c>
      <c r="BC61" t="n">
        <v>120</v>
      </c>
      <c r="BD61" t="n">
        <v>0</v>
      </c>
      <c r="BE61" t="n">
        <v>5</v>
      </c>
      <c r="BF61" t="inlineStr">
        <is>
          <t>CONFORME</t>
        </is>
      </c>
    </row>
    <row r="62" hidden="1" ht="21.75" customHeight="1" thickBot="1">
      <c r="A62" s="77" t="inlineStr">
        <is>
          <t>VGR</t>
        </is>
      </c>
      <c r="B62" s="77" t="inlineStr">
        <is>
          <t>Aboboras</t>
        </is>
      </c>
      <c r="C62" s="80" t="inlineStr">
        <is>
          <t>PF1104</t>
        </is>
      </c>
      <c r="D62" s="80" t="inlineStr">
        <is>
          <t>KIDDE</t>
        </is>
      </c>
      <c r="E62" s="78" t="inlineStr">
        <is>
          <t>CATERPILLAR</t>
        </is>
      </c>
      <c r="F62" s="80" t="inlineStr">
        <is>
          <t>CAT MD6290</t>
        </is>
      </c>
      <c r="G62" s="81">
        <f>IFERROR(IF(F62=$AB$2,"",VLOOKUP(F62,'DATASHEET EQUIPAMENTOS'!D:N,2,FALSE)),"")</f>
        <v/>
      </c>
      <c r="H62" s="82" t="inlineStr">
        <is>
          <t>2x68lbs</t>
        </is>
      </c>
      <c r="I62" s="57">
        <f>_xlfn.XLOOKUP(Tabela2[[#This Row],[Modelo]],'DATASHEET EQUIPAMENTOS'!D:D,'DATASHEET EQUIPAMENTOS'!P:P,"",0,1)</f>
        <v/>
      </c>
      <c r="J62" s="81">
        <f>IF(F62=$Z$2,"",VLOOKUP(F62,'DATASHEET EQUIPAMENTOS'!D:N,3,FALSE))</f>
        <v/>
      </c>
      <c r="K62" s="85" t="inlineStr">
        <is>
          <t>1x10gal + 1x20gal</t>
        </is>
      </c>
      <c r="L62" s="95">
        <f>IF(AZ62="CONFORME","CONFORME ✓","NÃO CONFORME ✗")</f>
        <v/>
      </c>
      <c r="M62" s="102">
        <f>IF(F62=$Z$2,"",VLOOKUP(F62,'DATASHEET EQUIPAMENTOS'!D:N,4,FALSE))</f>
        <v/>
      </c>
      <c r="N62" s="103" t="inlineStr">
        <is>
          <t>Linear</t>
        </is>
      </c>
      <c r="O62" s="102">
        <f>IF(F62=$Z$2,"",VLOOKUP(F62,'DATASHEET EQUIPAMENTOS'!D:N,5,FALSE))</f>
        <v/>
      </c>
      <c r="P62" s="103" t="n"/>
      <c r="Q62" s="102">
        <f>IF(F62=$Z$2,"",VLOOKUP(F62,'DATASHEET EQUIPAMENTOS'!D:N,6,FALSE))</f>
        <v/>
      </c>
      <c r="R62" s="104" t="n"/>
      <c r="S62" s="95">
        <f>IF(Tabela2[[#This Row],[Instalado Sensor Motor]]="Linear","CONFORME ✓",IF(SUM(M62,O62,Q62)&lt;SUM(N62,P62,R62),"CONFORME ✓",IF(SUM(M62,O62,Q62)=SUM(N62,P62,R62),"CONFORME ✓","NÃO CONFORME ✗")))</f>
        <v/>
      </c>
      <c r="T62" s="91">
        <f>IF(F62=$Z$2,"",VLOOKUP(F62,'DATASHEET EQUIPAMENTOS'!D:N,7,FALSE))</f>
        <v/>
      </c>
      <c r="U62" s="57" t="n">
        <v>5</v>
      </c>
      <c r="V62" s="56">
        <f>IF(F62=$Z$2,"",VLOOKUP(F62,'DATASHEET EQUIPAMENTOS'!D:N,8,FALSE))</f>
        <v/>
      </c>
      <c r="W62" s="57" t="n">
        <v>0</v>
      </c>
      <c r="X62" s="56">
        <f>IF(F62=$Z$2,"",VLOOKUP(F62,'DATASHEET EQUIPAMENTOS'!D:N,9,FALSE))</f>
        <v/>
      </c>
      <c r="Y62" s="57" t="n">
        <v>4</v>
      </c>
      <c r="Z62" s="57">
        <f>IF(SUM(T62,V62,X62)&lt;=SUM(U62,W62,Y62),"CONFORME ✓",IF(SUM(T62,V62,X62)&gt;SUM(U62,W62,Y62),"NÃO CONFORME ✗"))</f>
        <v/>
      </c>
      <c r="AA62" s="56">
        <f>IF(F62=$Z$2,"",VLOOKUP(F62,'DATASHEET EQUIPAMENTOS'!D:N,10,FALSE))</f>
        <v/>
      </c>
      <c r="AB62" s="57" t="n">
        <v>6</v>
      </c>
      <c r="AC62" s="56">
        <f>IF(F62=$Z$2,"",VLOOKUP(F62,'DATASHEET EQUIPAMENTOS'!D:N,11,FALSE))</f>
        <v/>
      </c>
      <c r="AD62" s="57" t="n">
        <v>0</v>
      </c>
      <c r="AE62" s="56">
        <f>IF(F62=$Z$2,"",VLOOKUP(F62,'DATASHEET EQUIPAMENTOS'!D:O,12,FALSE))</f>
        <v/>
      </c>
      <c r="AF62" s="57" t="n">
        <v>4</v>
      </c>
      <c r="AG62" s="57">
        <f>IF(SUM(AA62,AC62,AE62)&lt;=SUM(AB62,AD62,AF62),"CONFORME ✓",IF(SUM(AA62,AC62,AE62)&gt;SUM(AB62,AD62,AF62),"NÃO CONFORME ✗"))</f>
        <v/>
      </c>
      <c r="AH62" s="72" t="n">
        <v>4</v>
      </c>
      <c r="AI62" s="72" t="n">
        <v>3</v>
      </c>
      <c r="AJ62" s="72" t="n">
        <v>5</v>
      </c>
      <c r="AK62" s="7" t="inlineStr">
        <is>
          <t>REALIZAR ADEQUAÇÃO DE BICOS DE AGENTE PQS</t>
        </is>
      </c>
      <c r="AL62" s="58">
        <f>IFERROR(CALCULOS!H57,"NECESSÁRIO REVISAR DATASHEET")</f>
        <v/>
      </c>
      <c r="AM6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2" s="64">
        <f>SUM(Tabela2[[#This Row],[Nota de Prioridade Quantitativa(NOTAS: 1 PIOR NOTA; 5 MELHOR NOTA)]],Tabela2[[#This Row],[Nota de Prioridade Qualitativa(NOTAS: 1 PIOR NOTA;  5 MELHOR NOTA)]])</f>
        <v/>
      </c>
      <c r="AO62" s="7" t="n">
        <v>151515</v>
      </c>
      <c r="AP62" s="64">
        <f>SUM(Tabela2[[#This Row],[Nota de Prioridade Quantitativa(NOTAS: 1 PIOR NOTA; 5 MELHOR NOTA)]],Tabela2[[#This Row],[Nota de Prioridade Qualitativa(NOTAS: 1 PIOR NOTA;  5 MELHOR NOTA)]])</f>
        <v/>
      </c>
      <c r="AQ62" s="7" t="n"/>
      <c r="AR62" s="64">
        <f>SUM(Tabela2[[#This Row],[Nota de Prioridade Quantitativa(NOTAS: 1 PIOR NOTA; 5 MELHOR NOTA)]],Tabela2[[#This Row],[Nota de Prioridade Qualitativa(NOTAS: 1 PIOR NOTA;  5 MELHOR NOTA)]])</f>
        <v/>
      </c>
      <c r="AS62" s="7" t="n"/>
      <c r="AZ62" s="20">
        <f t="array" ref="AZ62">StatusCarga(G62,H62,J62,K62)</f>
        <v/>
      </c>
      <c r="BA62" s="20">
        <f>IF(AZ62="CONFORME","CONFORME ✓","NÃO CONFORME ✗")</f>
        <v/>
      </c>
      <c r="BB62" t="n">
        <v>0</v>
      </c>
      <c r="BC62" t="n">
        <v>136</v>
      </c>
      <c r="BD62" t="n">
        <v>0</v>
      </c>
      <c r="BE62" t="n">
        <v>30</v>
      </c>
      <c r="BF62" t="inlineStr">
        <is>
          <t>CONFORME</t>
        </is>
      </c>
    </row>
    <row r="63" ht="21.75" customHeight="1" thickBot="1">
      <c r="A63" s="151" t="inlineStr">
        <is>
          <t>itabira</t>
        </is>
      </c>
      <c r="B63" s="77" t="inlineStr">
        <is>
          <t>CONCEIÇÃO</t>
        </is>
      </c>
      <c r="C63" s="80" t="inlineStr">
        <is>
          <t>MT2603</t>
        </is>
      </c>
      <c r="D63" s="80" t="inlineStr">
        <is>
          <t>AFEX</t>
        </is>
      </c>
      <c r="E63" s="80" t="inlineStr">
        <is>
          <t>MANITOU</t>
        </is>
      </c>
      <c r="F63" s="80" t="inlineStr">
        <is>
          <t>MHT-X 10230</t>
        </is>
      </c>
      <c r="G63" s="81">
        <f>IFERROR(IF(F63=$AB$2,"",VLOOKUP(F63,'DATASHEET EQUIPAMENTOS'!D:N,2,FALSE)),"")</f>
        <v/>
      </c>
      <c r="H63" s="82" t="inlineStr">
        <is>
          <t>1x30lbs</t>
        </is>
      </c>
      <c r="I63" s="57">
        <f>_xlfn.XLOOKUP(Tabela2[[#This Row],[Modelo]],'DATASHEET EQUIPAMENTOS'!D:D,'DATASHEET EQUIPAMENTOS'!P:P,"",0,1)</f>
        <v/>
      </c>
      <c r="J63" s="81">
        <f>IF(F63=$Z$2,"",VLOOKUP(F63,'DATASHEET EQUIPAMENTOS'!D:N,3,FALSE))</f>
        <v/>
      </c>
      <c r="K63" s="85" t="inlineStr">
        <is>
          <t>1x5gal</t>
        </is>
      </c>
      <c r="L63" s="95">
        <f>IF(AZ63="CONFORME","CONFORME ✓","NÃO CONFORME ✗")</f>
        <v/>
      </c>
      <c r="M63" s="102">
        <f>IF(F63=$Z$2,"",VLOOKUP(F63,'DATASHEET EQUIPAMENTOS'!D:N,4,FALSE))</f>
        <v/>
      </c>
      <c r="N63" s="103" t="n">
        <v>3</v>
      </c>
      <c r="O63" s="102">
        <f>IF(F63=$Z$2,"",VLOOKUP(F63,'DATASHEET EQUIPAMENTOS'!D:N,5,FALSE))</f>
        <v/>
      </c>
      <c r="P63" s="103" t="n"/>
      <c r="Q63" s="102">
        <f>IF(F63=$Z$2,"",VLOOKUP(F63,'DATASHEET EQUIPAMENTOS'!D:N,6,FALSE))</f>
        <v/>
      </c>
      <c r="R63" s="104" t="n"/>
      <c r="S63" s="95">
        <f>IF(Tabela2[[#This Row],[Instalado Sensor Motor]]="Linear","CONFORME ✓",IF(SUM(M63,O63,Q63)&lt;SUM(N63,P63,R63),"CONFORME ✓",IF(SUM(M63,O63,Q63)=SUM(N63,P63,R63),"CONFORME ✓","NÃO CONFORME ✗")))</f>
        <v/>
      </c>
      <c r="T63" s="91">
        <f>IF(F63=$Z$2,"",VLOOKUP(F63,'DATASHEET EQUIPAMENTOS'!D:N,7,FALSE))</f>
        <v/>
      </c>
      <c r="U63" s="57" t="n">
        <v>3</v>
      </c>
      <c r="V63" s="56">
        <f>IF(F63=$Z$2,"",VLOOKUP(F63,'DATASHEET EQUIPAMENTOS'!D:N,8,FALSE))</f>
        <v/>
      </c>
      <c r="W63" s="57" t="n"/>
      <c r="X63" s="56">
        <f>IF(F63=$Z$2,"",VLOOKUP(F63,'DATASHEET EQUIPAMENTOS'!D:N,9,FALSE))</f>
        <v/>
      </c>
      <c r="Y63" s="57" t="n"/>
      <c r="Z63" s="57">
        <f>IF(SUM(T63,V63,X63)&lt;=SUM(U63,W63,Y63),"CONFORME ✓",IF(SUM(T63,V63,X63)&gt;SUM(U63,W63,Y63),"NÃO CONFORME ✗"))</f>
        <v/>
      </c>
      <c r="AA63" s="56">
        <f>IF(F63=$Z$2,"",VLOOKUP(F63,'DATASHEET EQUIPAMENTOS'!D:N,10,FALSE))</f>
        <v/>
      </c>
      <c r="AB63" s="57" t="n">
        <v>2</v>
      </c>
      <c r="AC63" s="56">
        <f>IF(F63=$Z$2,"",VLOOKUP(F63,'DATASHEET EQUIPAMENTOS'!D:N,11,FALSE))</f>
        <v/>
      </c>
      <c r="AD63" s="57" t="n"/>
      <c r="AE63" s="56">
        <f>IF(F63=$Z$2,"",VLOOKUP(F63,'DATASHEET EQUIPAMENTOS'!D:O,12,FALSE))</f>
        <v/>
      </c>
      <c r="AF63" s="57" t="n"/>
      <c r="AG63" s="57">
        <f>IF(SUM(AA63,AC63,AE63)&lt;=SUM(AB63,AD63,AF63),"CONFORME ✓",IF(SUM(AA63,AC63,AE63)&gt;SUM(AB63,AD63,AF63),"NÃO CONFORME ✗"))</f>
        <v/>
      </c>
      <c r="AH63" s="72" t="n">
        <v>5</v>
      </c>
      <c r="AI63" s="72" t="n">
        <v>5</v>
      </c>
      <c r="AJ63" s="72" t="n">
        <v>5</v>
      </c>
      <c r="AK63" s="7" t="n"/>
      <c r="AL63" s="58">
        <f>IFERROR(CALCULOS!H58,"NECESSÁRIO REVISAR DATASHEET")</f>
        <v/>
      </c>
      <c r="AM6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3" s="64">
        <f>SUM(Tabela2[[#This Row],[Nota de Prioridade Quantitativa(NOTAS: 1 PIOR NOTA; 5 MELHOR NOTA)]],Tabela2[[#This Row],[Nota de Prioridade Qualitativa(NOTAS: 1 PIOR NOTA;  5 MELHOR NOTA)]])</f>
        <v/>
      </c>
      <c r="AO63" s="7" t="n">
        <v>152605</v>
      </c>
      <c r="AP63" s="64">
        <f>SUM(Tabela2[[#This Row],[Nota de Prioridade Quantitativa(NOTAS: 1 PIOR NOTA; 5 MELHOR NOTA)]],Tabela2[[#This Row],[Nota de Prioridade Qualitativa(NOTAS: 1 PIOR NOTA;  5 MELHOR NOTA)]])</f>
        <v/>
      </c>
      <c r="AQ63" s="7" t="n"/>
      <c r="AR63" s="64">
        <f>SUM(Tabela2[[#This Row],[Nota de Prioridade Quantitativa(NOTAS: 1 PIOR NOTA; 5 MELHOR NOTA)]],Tabela2[[#This Row],[Nota de Prioridade Qualitativa(NOTAS: 1 PIOR NOTA;  5 MELHOR NOTA)]])</f>
        <v/>
      </c>
      <c r="AS63" s="7" t="n"/>
      <c r="AZ63" s="20">
        <f t="array" ref="AZ63">StatusCarga(G63,H63,J63,K63)</f>
        <v/>
      </c>
      <c r="BA63" s="20">
        <f>IF(AZ63="CONFORME","CONFORME ✓","NÃO CONFORME ✗")</f>
        <v/>
      </c>
      <c r="BB63" t="n">
        <v>0</v>
      </c>
      <c r="BC63" t="n">
        <v>30</v>
      </c>
      <c r="BD63" t="n">
        <v>0</v>
      </c>
      <c r="BE63" t="n">
        <v>5</v>
      </c>
      <c r="BF63" t="inlineStr">
        <is>
          <t>CONFORME</t>
        </is>
      </c>
    </row>
    <row r="64" ht="21.75" customHeight="1" thickBot="1">
      <c r="A64" s="151" t="inlineStr">
        <is>
          <t>itabira</t>
        </is>
      </c>
      <c r="B64" s="77" t="inlineStr">
        <is>
          <t>CONCEIÇÃO</t>
        </is>
      </c>
      <c r="C64" s="80" t="inlineStr">
        <is>
          <t>TP5101</t>
        </is>
      </c>
      <c r="D64" s="80" t="inlineStr">
        <is>
          <t>AFEX</t>
        </is>
      </c>
      <c r="E64" s="78" t="inlineStr">
        <is>
          <t>CATERPILLAR</t>
        </is>
      </c>
      <c r="F64" s="80" t="inlineStr">
        <is>
          <t>cat 844K</t>
        </is>
      </c>
      <c r="G64" s="81">
        <f>IFERROR(IF(F64=$AB$2,"",VLOOKUP(F64,'DATASHEET EQUIPAMENTOS'!D:N,2,FALSE)),"")</f>
        <v/>
      </c>
      <c r="H64" s="82" t="inlineStr">
        <is>
          <t>2x60lbs</t>
        </is>
      </c>
      <c r="I64" s="57">
        <f>_xlfn.XLOOKUP(Tabela2[[#This Row],[Modelo]],'DATASHEET EQUIPAMENTOS'!D:D,'DATASHEET EQUIPAMENTOS'!P:P,"",0,1)</f>
        <v/>
      </c>
      <c r="J64" s="81">
        <f>IF(F64=$Z$2,"",VLOOKUP(F64,'DATASHEET EQUIPAMENTOS'!D:N,3,FALSE))</f>
        <v/>
      </c>
      <c r="K64" s="85" t="inlineStr">
        <is>
          <t>1x5gal</t>
        </is>
      </c>
      <c r="L64" s="95">
        <f>IF(AZ64="CONFORME","CONFORME ✓","NÃO CONFORME ✗")</f>
        <v/>
      </c>
      <c r="M64" s="102">
        <f>IF(F64=$Z$2,"",VLOOKUP(F64,'DATASHEET EQUIPAMENTOS'!D:N,4,FALSE))</f>
        <v/>
      </c>
      <c r="N64" s="103" t="n">
        <v>6</v>
      </c>
      <c r="O64" s="102">
        <f>IF(F64=$Z$2,"",VLOOKUP(F64,'DATASHEET EQUIPAMENTOS'!D:N,5,FALSE))</f>
        <v/>
      </c>
      <c r="P64" s="103" t="n">
        <v>2</v>
      </c>
      <c r="Q64" s="102">
        <f>IF(F64=$Z$2,"",VLOOKUP(F64,'DATASHEET EQUIPAMENTOS'!D:N,6,FALSE))</f>
        <v/>
      </c>
      <c r="R64" s="104" t="n">
        <v>1</v>
      </c>
      <c r="S64" s="95">
        <f>IF(Tabela2[[#This Row],[Instalado Sensor Motor]]="Linear","CONFORME ✓",IF(SUM(M64,O64,Q64)&lt;SUM(N64,P64,R64),"CONFORME ✓",IF(SUM(M64,O64,Q64)=SUM(N64,P64,R64),"CONFORME ✓","NÃO CONFORME ✗")))</f>
        <v/>
      </c>
      <c r="T64" s="91">
        <f>IF(F64=$Z$2,"",VLOOKUP(F64,'DATASHEET EQUIPAMENTOS'!D:N,7,FALSE))</f>
        <v/>
      </c>
      <c r="U64" s="57" t="n">
        <v>12</v>
      </c>
      <c r="V64" s="56">
        <f>IF(F64=$Z$2,"",VLOOKUP(F64,'DATASHEET EQUIPAMENTOS'!D:N,8,FALSE))</f>
        <v/>
      </c>
      <c r="W64" s="57" t="n">
        <v>6</v>
      </c>
      <c r="X64" s="56">
        <f>IF(F64=$Z$2,"",VLOOKUP(F64,'DATASHEET EQUIPAMENTOS'!D:N,9,FALSE))</f>
        <v/>
      </c>
      <c r="Y64" s="57" t="n"/>
      <c r="Z64" s="57">
        <f>IF(SUM(T64,V64,X64)&lt;=SUM(U64,W64,Y64),"CONFORME ✓",IF(SUM(T64,V64,X64)&gt;SUM(U64,W64,Y64),"NÃO CONFORME ✗"))</f>
        <v/>
      </c>
      <c r="AA64" s="56">
        <f>IF(F64=$Z$2,"",VLOOKUP(F64,'DATASHEET EQUIPAMENTOS'!D:N,10,FALSE))</f>
        <v/>
      </c>
      <c r="AB64" s="57" t="n">
        <v>6</v>
      </c>
      <c r="AC64" s="56">
        <f>IF(F64=$Z$2,"",VLOOKUP(F64,'DATASHEET EQUIPAMENTOS'!D:N,11,FALSE))</f>
        <v/>
      </c>
      <c r="AD64" s="57" t="n"/>
      <c r="AE64" s="56">
        <f>IF(F64=$Z$2,"",VLOOKUP(F64,'DATASHEET EQUIPAMENTOS'!D:O,12,FALSE))</f>
        <v/>
      </c>
      <c r="AF64" s="57" t="n"/>
      <c r="AG64" s="57">
        <f>IF(SUM(AA64,AC64,AE64)&lt;=SUM(AB64,AD64,AF64),"CONFORME ✓",IF(SUM(AA64,AC64,AE64)&gt;SUM(AB64,AD64,AF64),"NÃO CONFORME ✗"))</f>
        <v/>
      </c>
      <c r="AH64" s="72" t="n">
        <v>4.5</v>
      </c>
      <c r="AI64" s="72" t="inlineStr">
        <is>
          <t>4.5</t>
        </is>
      </c>
      <c r="AJ64" s="72" t="n">
        <v>5</v>
      </c>
      <c r="AK64" s="7" t="n"/>
      <c r="AL64" s="58">
        <f>IFERROR(CALCULOS!H59,"NECESSÁRIO REVISAR DATASHEET")</f>
        <v/>
      </c>
      <c r="AM6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4" s="64">
        <f>SUM(Tabela2[[#This Row],[Nota de Prioridade Quantitativa(NOTAS: 1 PIOR NOTA; 5 MELHOR NOTA)]],Tabela2[[#This Row],[Nota de Prioridade Qualitativa(NOTAS: 1 PIOR NOTA;  5 MELHOR NOTA)]])</f>
        <v/>
      </c>
      <c r="AO64" s="7" t="n">
        <v>152594</v>
      </c>
      <c r="AP64" s="64">
        <f>SUM(Tabela2[[#This Row],[Nota de Prioridade Quantitativa(NOTAS: 1 PIOR NOTA; 5 MELHOR NOTA)]],Tabela2[[#This Row],[Nota de Prioridade Qualitativa(NOTAS: 1 PIOR NOTA;  5 MELHOR NOTA)]])</f>
        <v/>
      </c>
      <c r="AQ64" s="7" t="n"/>
      <c r="AR64" s="64">
        <f>SUM(Tabela2[[#This Row],[Nota de Prioridade Quantitativa(NOTAS: 1 PIOR NOTA; 5 MELHOR NOTA)]],Tabela2[[#This Row],[Nota de Prioridade Qualitativa(NOTAS: 1 PIOR NOTA;  5 MELHOR NOTA)]])</f>
        <v/>
      </c>
      <c r="AS64" s="7" t="n"/>
      <c r="AZ64" s="20">
        <f t="array" ref="AZ64">StatusCarga(G64,H64,J64,K64)</f>
        <v/>
      </c>
      <c r="BA64" s="20">
        <f>IF(AZ64="CONFORME","CONFORME ✓","NÃO CONFORME ✗")</f>
        <v/>
      </c>
      <c r="BB64" t="n">
        <v>0</v>
      </c>
      <c r="BC64" t="n">
        <v>120</v>
      </c>
      <c r="BD64" t="n">
        <v>0</v>
      </c>
      <c r="BE64" t="n">
        <v>5</v>
      </c>
      <c r="BF64" t="inlineStr">
        <is>
          <t>CONFORME</t>
        </is>
      </c>
    </row>
    <row r="65" hidden="1" ht="21.75" customHeight="1" thickBot="1">
      <c r="A65" s="77" t="inlineStr">
        <is>
          <t>Paraoupeba</t>
        </is>
      </c>
      <c r="B65" s="77" t="inlineStr">
        <is>
          <t>Viga</t>
        </is>
      </c>
      <c r="C65" s="80" t="inlineStr">
        <is>
          <t>CA5599</t>
        </is>
      </c>
      <c r="D65" s="80" t="inlineStr">
        <is>
          <t>AFEX</t>
        </is>
      </c>
      <c r="E65" s="78" t="inlineStr">
        <is>
          <t>CATERPILLAR</t>
        </is>
      </c>
      <c r="F65" s="80" t="inlineStr">
        <is>
          <t>cat 775G</t>
        </is>
      </c>
      <c r="G65" s="81">
        <f>IFERROR(IF(F65=$AB$2,"",VLOOKUP(F65,'DATASHEET EQUIPAMENTOS'!D:N,2,FALSE)),"")</f>
        <v/>
      </c>
      <c r="H65" s="82" t="inlineStr">
        <is>
          <t>1x60lbs</t>
        </is>
      </c>
      <c r="I65" s="57">
        <f>_xlfn.XLOOKUP(Tabela2[[#This Row],[Modelo]],'DATASHEET EQUIPAMENTOS'!D:D,'DATASHEET EQUIPAMENTOS'!P:P,"",0,1)</f>
        <v/>
      </c>
      <c r="J65" s="81">
        <f>IF(F65=$Z$2,"",VLOOKUP(F65,'DATASHEET EQUIPAMENTOS'!D:N,3,FALSE))</f>
        <v/>
      </c>
      <c r="K65" s="85" t="n">
        <v>0</v>
      </c>
      <c r="L65" s="95">
        <f>IF(AZ65="CONFORME","CONFORME ✓","NÃO CONFORME ✗")</f>
        <v/>
      </c>
      <c r="M65" s="102">
        <f>IF(F65=$Z$2,"",VLOOKUP(F65,'DATASHEET EQUIPAMENTOS'!D:N,4,FALSE))</f>
        <v/>
      </c>
      <c r="N65" s="103" t="n">
        <v>4</v>
      </c>
      <c r="O65" s="102">
        <f>IF(F65=$Z$2,"",VLOOKUP(F65,'DATASHEET EQUIPAMENTOS'!D:N,5,FALSE))</f>
        <v/>
      </c>
      <c r="P65" s="103" t="n"/>
      <c r="Q65" s="102">
        <f>IF(F65=$Z$2,"",VLOOKUP(F65,'DATASHEET EQUIPAMENTOS'!D:N,6,FALSE))</f>
        <v/>
      </c>
      <c r="R65" s="104" t="n"/>
      <c r="S65" s="95">
        <f>IF(Tabela2[[#This Row],[Instalado Sensor Motor]]="Linear","CONFORME ✓",IF(SUM(M65,O65,Q65)&lt;SUM(N65,P65,R65),"CONFORME ✓",IF(SUM(M65,O65,Q65)=SUM(N65,P65,R65),"CONFORME ✓","NÃO CONFORME ✗")))</f>
        <v/>
      </c>
      <c r="T65" s="91">
        <f>IF(F65=$Z$2,"",VLOOKUP(F65,'DATASHEET EQUIPAMENTOS'!D:N,7,FALSE))</f>
        <v/>
      </c>
      <c r="U65" s="57" t="n">
        <v>12</v>
      </c>
      <c r="V65" s="56">
        <f>IF(F65=$Z$2,"",VLOOKUP(F65,'DATASHEET EQUIPAMENTOS'!D:N,8,FALSE))</f>
        <v/>
      </c>
      <c r="W65" s="57" t="n"/>
      <c r="X65" s="56">
        <f>IF(F65=$Z$2,"",VLOOKUP(F65,'DATASHEET EQUIPAMENTOS'!D:N,9,FALSE))</f>
        <v/>
      </c>
      <c r="Y65" s="57" t="n"/>
      <c r="Z65" s="57">
        <f>IF(SUM(T65,V65,X65)&lt;=SUM(U65,W65,Y65),"CONFORME ✓",IF(SUM(T65,V65,X65)&gt;SUM(U65,W65,Y65),"NÃO CONFORME ✗"))</f>
        <v/>
      </c>
      <c r="AA65" s="56">
        <f>IF(F65=$Z$2,"",VLOOKUP(F65,'DATASHEET EQUIPAMENTOS'!D:N,10,FALSE))</f>
        <v/>
      </c>
      <c r="AB65" s="57" t="n"/>
      <c r="AC65" s="56">
        <f>IF(F65=$Z$2,"",VLOOKUP(F65,'DATASHEET EQUIPAMENTOS'!D:N,11,FALSE))</f>
        <v/>
      </c>
      <c r="AD65" s="57" t="n"/>
      <c r="AE65" s="56">
        <f>IF(F65=$Z$2,"",VLOOKUP(F65,'DATASHEET EQUIPAMENTOS'!D:O,12,FALSE))</f>
        <v/>
      </c>
      <c r="AF65" s="57" t="n"/>
      <c r="AG65" s="57">
        <f>IF(SUM(AA65,AC65,AE65)&lt;=SUM(AB65,AD65,AF65),"CONFORME ✓",IF(SUM(AA65,AC65,AE65)&gt;SUM(AB65,AD65,AF65),"NÃO CONFORME ✗"))</f>
        <v/>
      </c>
      <c r="AH65" s="72" t="n">
        <v>2.5</v>
      </c>
      <c r="AI65" s="72" t="n">
        <v>4</v>
      </c>
      <c r="AJ65" s="72" t="n">
        <v>4</v>
      </c>
      <c r="AK65" s="7" t="inlineStr">
        <is>
          <t>REPOSICIONAR CABOS SENSORES</t>
        </is>
      </c>
      <c r="AL65" s="58">
        <f>IFERROR(CALCULOS!H60,"NECESSÁRIO REVISAR DATASHEET")</f>
        <v/>
      </c>
      <c r="AM6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5" s="64">
        <f>SUM(Tabela2[[#This Row],[Nota de Prioridade Quantitativa(NOTAS: 1 PIOR NOTA; 5 MELHOR NOTA)]],Tabela2[[#This Row],[Nota de Prioridade Qualitativa(NOTAS: 1 PIOR NOTA;  5 MELHOR NOTA)]])</f>
        <v/>
      </c>
      <c r="AO65" s="7" t="n">
        <v>152986</v>
      </c>
      <c r="AP65" s="64">
        <f>SUM(Tabela2[[#This Row],[Nota de Prioridade Quantitativa(NOTAS: 1 PIOR NOTA; 5 MELHOR NOTA)]],Tabela2[[#This Row],[Nota de Prioridade Qualitativa(NOTAS: 1 PIOR NOTA;  5 MELHOR NOTA)]])</f>
        <v/>
      </c>
      <c r="AQ65" s="7" t="n"/>
      <c r="AR65" s="64">
        <f>SUM(Tabela2[[#This Row],[Nota de Prioridade Quantitativa(NOTAS: 1 PIOR NOTA; 5 MELHOR NOTA)]],Tabela2[[#This Row],[Nota de Prioridade Qualitativa(NOTAS: 1 PIOR NOTA;  5 MELHOR NOTA)]])</f>
        <v/>
      </c>
      <c r="AS65" s="7" t="n"/>
      <c r="AZ65" s="20">
        <f t="array" ref="AZ65">StatusCarga(G65,H65,J65,K65)</f>
        <v/>
      </c>
      <c r="BA65" s="20">
        <f>IF(AZ65="CONFORME","CONFORME ✓","NÃO CONFORME ✗")</f>
        <v/>
      </c>
      <c r="BB65" t="n">
        <v>0</v>
      </c>
      <c r="BC65" t="n">
        <v>60</v>
      </c>
      <c r="BD65" t="n">
        <v>0</v>
      </c>
      <c r="BE65" t="n">
        <v>0</v>
      </c>
      <c r="BF65" t="inlineStr">
        <is>
          <t>CONFORME</t>
        </is>
      </c>
    </row>
    <row r="66" ht="21.75" customHeight="1" thickBot="1">
      <c r="A66" s="151" t="inlineStr">
        <is>
          <t>itabira</t>
        </is>
      </c>
      <c r="B66" s="77" t="inlineStr">
        <is>
          <t>CONCEIÇÃO</t>
        </is>
      </c>
      <c r="C66" s="80" t="inlineStr">
        <is>
          <t>DS1850</t>
        </is>
      </c>
      <c r="D66" s="80" t="inlineStr">
        <is>
          <t>KIDDE</t>
        </is>
      </c>
      <c r="E66" s="80" t="inlineStr">
        <is>
          <t>IHC</t>
        </is>
      </c>
      <c r="F66" s="80" t="inlineStr">
        <is>
          <t>DRAGA</t>
        </is>
      </c>
      <c r="G66" s="81">
        <f>IFERROR(IF(F66=$AB$2,"",VLOOKUP(F66,'DATASHEET EQUIPAMENTOS'!D:N,2,FALSE)),"")</f>
        <v/>
      </c>
      <c r="H66" s="82" t="inlineStr">
        <is>
          <t>2x25lbs</t>
        </is>
      </c>
      <c r="I66" s="57">
        <f>_xlfn.XLOOKUP(Tabela2[[#This Row],[Modelo]],'DATASHEET EQUIPAMENTOS'!D:D,'DATASHEET EQUIPAMENTOS'!P:P,"",0,1)</f>
        <v/>
      </c>
      <c r="J66" s="81">
        <f>IF(F66=$Z$2,"",VLOOKUP(F66,'DATASHEET EQUIPAMENTOS'!D:N,3,FALSE))</f>
        <v/>
      </c>
      <c r="K66" s="85" t="n">
        <v>0</v>
      </c>
      <c r="L66" s="95">
        <f>IF(AZ66="CONFORME","CONFORME ✓","NÃO CONFORME ✗")</f>
        <v/>
      </c>
      <c r="M66" s="102">
        <f>IF(F66=$Z$2,"",VLOOKUP(F66,'DATASHEET EQUIPAMENTOS'!D:N,4,FALSE))</f>
        <v/>
      </c>
      <c r="N66" s="103" t="inlineStr">
        <is>
          <t>Linear</t>
        </is>
      </c>
      <c r="O66" s="102">
        <f>IF(F66=$Z$2,"",VLOOKUP(F66,'DATASHEET EQUIPAMENTOS'!D:N,5,FALSE))</f>
        <v/>
      </c>
      <c r="P66" s="103" t="n"/>
      <c r="Q66" s="102">
        <f>IF(F66=$Z$2,"",VLOOKUP(F66,'DATASHEET EQUIPAMENTOS'!D:N,6,FALSE))</f>
        <v/>
      </c>
      <c r="R66" s="104" t="n"/>
      <c r="S66" s="95">
        <f>IF(Tabela2[[#This Row],[Instalado Sensor Motor]]="Linear","CONFORME ✓",IF(SUM(M66,O66,Q66)&lt;SUM(N66,P66,R66),"CONFORME ✓",IF(SUM(M66,O66,Q66)=SUM(N66,P66,R66),"CONFORME ✓","NÃO CONFORME ✗")))</f>
        <v/>
      </c>
      <c r="T66" s="91">
        <f>IF(F66=$Z$2,"",VLOOKUP(F66,'DATASHEET EQUIPAMENTOS'!D:N,7,FALSE))</f>
        <v/>
      </c>
      <c r="U66" s="57" t="n">
        <v>14</v>
      </c>
      <c r="V66" s="56">
        <f>IF(F66=$Z$2,"",VLOOKUP(F66,'DATASHEET EQUIPAMENTOS'!D:N,8,FALSE))</f>
        <v/>
      </c>
      <c r="W66" s="57" t="n">
        <v>14</v>
      </c>
      <c r="X66" s="56">
        <f>IF(F66=$Z$2,"",VLOOKUP(F66,'DATASHEET EQUIPAMENTOS'!D:N,9,FALSE))</f>
        <v/>
      </c>
      <c r="Y66" s="57" t="n">
        <v>14</v>
      </c>
      <c r="Z66" s="57">
        <f>IF(SUM(T66,V66,X66)&lt;=SUM(U66,W66,Y66),"CONFORME ✓",IF(SUM(T66,V66,X66)&gt;SUM(U66,W66,Y66),"NÃO CONFORME ✗"))</f>
        <v/>
      </c>
      <c r="AA66" s="56">
        <f>IF(F66=$Z$2,"",VLOOKUP(F66,'DATASHEET EQUIPAMENTOS'!D:N,10,FALSE))</f>
        <v/>
      </c>
      <c r="AB66" s="57" t="n">
        <v>0</v>
      </c>
      <c r="AC66" s="56">
        <f>IF(F66=$Z$2,"",VLOOKUP(F66,'DATASHEET EQUIPAMENTOS'!D:N,11,FALSE))</f>
        <v/>
      </c>
      <c r="AD66" s="57" t="n"/>
      <c r="AE66" s="56">
        <f>IF(F66=$Z$2,"",VLOOKUP(F66,'DATASHEET EQUIPAMENTOS'!D:O,12,FALSE))</f>
        <v/>
      </c>
      <c r="AF66" s="57" t="n">
        <v>0</v>
      </c>
      <c r="AG66" s="57">
        <f>IF(SUM(AA66,AC66,AE66)&lt;=SUM(AB66,AD66,AF66),"CONFORME ✓",IF(SUM(AA66,AC66,AE66)&gt;SUM(AB66,AD66,AF66),"NÃO CONFORME ✗"))</f>
        <v/>
      </c>
      <c r="AH66" s="72" t="n">
        <v>4</v>
      </c>
      <c r="AI66" s="72" t="n">
        <v>4</v>
      </c>
      <c r="AJ66" s="72" t="n">
        <v>4</v>
      </c>
      <c r="AK66" s="7" t="inlineStr">
        <is>
          <t>SISTEMA KIDDE FIRE DO EQUIPAMENTO CONFORME O RELATÓRIO</t>
        </is>
      </c>
      <c r="AL66" s="58">
        <f>IFERROR(CALCULOS!H61,"NECESSÁRIO REVISAR DATASHEET")</f>
        <v/>
      </c>
      <c r="AM6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6" s="64">
        <f>SUM(Tabela2[[#This Row],[Nota de Prioridade Quantitativa(NOTAS: 1 PIOR NOTA; 5 MELHOR NOTA)]],Tabela2[[#This Row],[Nota de Prioridade Qualitativa(NOTAS: 1 PIOR NOTA;  5 MELHOR NOTA)]])</f>
        <v/>
      </c>
      <c r="AO66" s="7" t="n">
        <v>152571</v>
      </c>
      <c r="AP66" s="64">
        <f>SUM(Tabela2[[#This Row],[Nota de Prioridade Quantitativa(NOTAS: 1 PIOR NOTA; 5 MELHOR NOTA)]],Tabela2[[#This Row],[Nota de Prioridade Qualitativa(NOTAS: 1 PIOR NOTA;  5 MELHOR NOTA)]])</f>
        <v/>
      </c>
      <c r="AQ66" s="7" t="n"/>
      <c r="AR66" s="64">
        <f>SUM(Tabela2[[#This Row],[Nota de Prioridade Quantitativa(NOTAS: 1 PIOR NOTA; 5 MELHOR NOTA)]],Tabela2[[#This Row],[Nota de Prioridade Qualitativa(NOTAS: 1 PIOR NOTA;  5 MELHOR NOTA)]])</f>
        <v/>
      </c>
      <c r="AS66" s="7" t="n"/>
      <c r="AZ66" s="20">
        <f t="array" ref="AZ66">StatusCarga(G66,H66,J66,K66)</f>
        <v/>
      </c>
      <c r="BA66" s="20">
        <f>IF(AZ66="CONFORME","CONFORME ✓","NÃO CONFORME ✗")</f>
        <v/>
      </c>
      <c r="BB66" t="n">
        <v>0</v>
      </c>
      <c r="BC66" t="n">
        <v>50</v>
      </c>
      <c r="BD66" t="n">
        <v>0</v>
      </c>
      <c r="BE66" t="n">
        <v>0</v>
      </c>
      <c r="BF66" t="inlineStr">
        <is>
          <t>CONFORME</t>
        </is>
      </c>
    </row>
    <row r="67" hidden="1" ht="21.75" customHeight="1" thickBot="1">
      <c r="A67" s="77" t="inlineStr">
        <is>
          <t>VGR</t>
        </is>
      </c>
      <c r="B67" s="77" t="inlineStr">
        <is>
          <t>Pico</t>
        </is>
      </c>
      <c r="C67" s="80" t="inlineStr">
        <is>
          <t>CA5409</t>
        </is>
      </c>
      <c r="D67" s="80" t="inlineStr">
        <is>
          <t>AFEX</t>
        </is>
      </c>
      <c r="E67" s="78" t="inlineStr">
        <is>
          <t>CATERPILLAR</t>
        </is>
      </c>
      <c r="F67" s="80" t="inlineStr">
        <is>
          <t>CAT 785C</t>
        </is>
      </c>
      <c r="G67" s="81">
        <f>IFERROR(IF(F67=$AB$2,"",VLOOKUP(F67,'DATASHEET EQUIPAMENTOS'!D:N,2,FALSE)),"")</f>
        <v/>
      </c>
      <c r="H67" s="82" t="inlineStr">
        <is>
          <t>3x30lbs</t>
        </is>
      </c>
      <c r="I67" s="57">
        <f>_xlfn.XLOOKUP(Tabela2[[#This Row],[Modelo]],'DATASHEET EQUIPAMENTOS'!D:D,'DATASHEET EQUIPAMENTOS'!P:P,"",0,1)</f>
        <v/>
      </c>
      <c r="J67" s="81">
        <f>IF(F67=$Z$2,"",VLOOKUP(F67,'DATASHEET EQUIPAMENTOS'!D:N,3,FALSE))</f>
        <v/>
      </c>
      <c r="K67" s="85" t="n">
        <v>0</v>
      </c>
      <c r="L67" s="95">
        <f>IF(AZ67="CONFORME","CONFORME ✓","NÃO CONFORME ✗")</f>
        <v/>
      </c>
      <c r="M67" s="102">
        <f>IF(F67=$Z$2,"",VLOOKUP(F67,'DATASHEET EQUIPAMENTOS'!D:N,4,FALSE))</f>
        <v/>
      </c>
      <c r="N67" s="103" t="n">
        <v>6</v>
      </c>
      <c r="O67" s="102">
        <f>IF(F67=$Z$2,"",VLOOKUP(F67,'DATASHEET EQUIPAMENTOS'!D:N,5,FALSE))</f>
        <v/>
      </c>
      <c r="P67" s="103" t="n">
        <v>2</v>
      </c>
      <c r="Q67" s="102">
        <f>IF(F67=$Z$2,"",VLOOKUP(F67,'DATASHEET EQUIPAMENTOS'!D:N,6,FALSE))</f>
        <v/>
      </c>
      <c r="R67" s="104" t="n">
        <v>0</v>
      </c>
      <c r="S67" s="95">
        <f>IF(Tabela2[[#This Row],[Instalado Sensor Motor]]="Linear","CONFORME ✓",IF(SUM(M67,O67,Q67)&lt;SUM(N67,P67,R67),"CONFORME ✓",IF(SUM(M67,O67,Q67)=SUM(N67,P67,R67),"CONFORME ✓","NÃO CONFORME ✗")))</f>
        <v/>
      </c>
      <c r="T67" s="91">
        <f>IF(F67=$Z$2,"",VLOOKUP(F67,'DATASHEET EQUIPAMENTOS'!D:N,7,FALSE))</f>
        <v/>
      </c>
      <c r="U67" s="57" t="n">
        <v>12</v>
      </c>
      <c r="V67" s="56">
        <f>IF(F67=$Z$2,"",VLOOKUP(F67,'DATASHEET EQUIPAMENTOS'!D:N,8,FALSE))</f>
        <v/>
      </c>
      <c r="W67" s="57" t="n">
        <v>6</v>
      </c>
      <c r="X67" s="56">
        <f>IF(F67=$Z$2,"",VLOOKUP(F67,'DATASHEET EQUIPAMENTOS'!D:N,9,FALSE))</f>
        <v/>
      </c>
      <c r="Y67" s="57" t="n"/>
      <c r="Z67" s="57">
        <f>IF(SUM(T67,V67,X67)&lt;=SUM(U67,W67,Y67),"CONFORME ✓",IF(SUM(T67,V67,X67)&gt;SUM(U67,W67,Y67),"NÃO CONFORME ✗"))</f>
        <v/>
      </c>
      <c r="AA67" s="56">
        <f>IF(F67=$Z$2,"",VLOOKUP(F67,'DATASHEET EQUIPAMENTOS'!D:N,10,FALSE))</f>
        <v/>
      </c>
      <c r="AB67" s="57" t="n">
        <v>0</v>
      </c>
      <c r="AC67" s="56">
        <f>IF(F67=$Z$2,"",VLOOKUP(F67,'DATASHEET EQUIPAMENTOS'!D:N,11,FALSE))</f>
        <v/>
      </c>
      <c r="AD67" s="57" t="n">
        <v>0</v>
      </c>
      <c r="AE67" s="56">
        <f>IF(F67=$Z$2,"",VLOOKUP(F67,'DATASHEET EQUIPAMENTOS'!D:O,12,FALSE))</f>
        <v/>
      </c>
      <c r="AF67" s="57" t="n">
        <v>0</v>
      </c>
      <c r="AG67" s="57">
        <f>IF(SUM(AA67,AC67,AE67)&lt;=SUM(AB67,AD67,AF67),"CONFORME ✓",IF(SUM(AA67,AC67,AE67)&gt;SUM(AB67,AD67,AF67),"NÃO CONFORME ✗"))</f>
        <v/>
      </c>
      <c r="AH67" s="72" t="n">
        <v>3</v>
      </c>
      <c r="AI67" s="72" t="n">
        <v>3</v>
      </c>
      <c r="AJ67" s="72" t="n">
        <v>5</v>
      </c>
      <c r="AK67" s="7" t="inlineStr">
        <is>
          <t xml:space="preserve">REFAZER O RELATÓRIO, DADOS INCOMPLETOS </t>
        </is>
      </c>
      <c r="AL67" s="58">
        <f>IFERROR(CALCULOS!H62,"NECESSÁRIO REVISAR DATASHEET")</f>
        <v/>
      </c>
      <c r="AM6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7" s="64">
        <f>SUM(Tabela2[[#This Row],[Nota de Prioridade Quantitativa(NOTAS: 1 PIOR NOTA; 5 MELHOR NOTA)]],Tabela2[[#This Row],[Nota de Prioridade Qualitativa(NOTAS: 1 PIOR NOTA;  5 MELHOR NOTA)]])</f>
        <v/>
      </c>
      <c r="AO67" s="7" t="n">
        <v>151786</v>
      </c>
      <c r="AP67" s="64">
        <f>SUM(Tabela2[[#This Row],[Nota de Prioridade Quantitativa(NOTAS: 1 PIOR NOTA; 5 MELHOR NOTA)]],Tabela2[[#This Row],[Nota de Prioridade Qualitativa(NOTAS: 1 PIOR NOTA;  5 MELHOR NOTA)]])</f>
        <v/>
      </c>
      <c r="AQ67" s="7" t="n"/>
      <c r="AR67" s="64">
        <f>SUM(Tabela2[[#This Row],[Nota de Prioridade Quantitativa(NOTAS: 1 PIOR NOTA; 5 MELHOR NOTA)]],Tabela2[[#This Row],[Nota de Prioridade Qualitativa(NOTAS: 1 PIOR NOTA;  5 MELHOR NOTA)]])</f>
        <v/>
      </c>
      <c r="AS67" s="7" t="n"/>
      <c r="AZ67" s="20">
        <f t="array" ref="AZ67">StatusCarga(G67,H67,J67,K67)</f>
        <v/>
      </c>
      <c r="BA67" s="20">
        <f>IF(AZ67="CONFORME","CONFORME ✓","NÃO CONFORME ✗")</f>
        <v/>
      </c>
      <c r="BB67" t="n">
        <v>0</v>
      </c>
      <c r="BC67" t="n">
        <v>90</v>
      </c>
      <c r="BD67" t="n">
        <v>0</v>
      </c>
      <c r="BE67" t="n">
        <v>0</v>
      </c>
      <c r="BF67" t="inlineStr">
        <is>
          <t>CONFORME</t>
        </is>
      </c>
    </row>
    <row r="68" hidden="1" ht="21.75" customHeight="1" thickBot="1">
      <c r="A68" s="77" t="inlineStr">
        <is>
          <t>Mariana</t>
        </is>
      </c>
      <c r="B68" s="77" t="inlineStr">
        <is>
          <t>Fazendão</t>
        </is>
      </c>
      <c r="C68" s="80" t="inlineStr">
        <is>
          <t>TE4212</t>
        </is>
      </c>
      <c r="D68" s="80" t="inlineStr">
        <is>
          <t>AFEX</t>
        </is>
      </c>
      <c r="E68" s="78" t="inlineStr">
        <is>
          <t>CATERPILLAR</t>
        </is>
      </c>
      <c r="F68" s="80" t="inlineStr">
        <is>
          <t>CAT D10T</t>
        </is>
      </c>
      <c r="G68" s="81">
        <f>IFERROR(IF(F68=$AB$2,"",VLOOKUP(F68,'DATASHEET EQUIPAMENTOS'!D:N,2,FALSE)),"")</f>
        <v/>
      </c>
      <c r="H68" s="82" t="inlineStr">
        <is>
          <t>1x60lbs</t>
        </is>
      </c>
      <c r="I68" s="57">
        <f>_xlfn.XLOOKUP(Tabela2[[#This Row],[Modelo]],'DATASHEET EQUIPAMENTOS'!D:D,'DATASHEET EQUIPAMENTOS'!P:P,"",0,1)</f>
        <v/>
      </c>
      <c r="J68" s="81">
        <f>IF(F68=$Z$2,"",VLOOKUP(F68,'DATASHEET EQUIPAMENTOS'!D:N,3,FALSE))</f>
        <v/>
      </c>
      <c r="K68" s="85" t="n">
        <v>0</v>
      </c>
      <c r="L68" s="95">
        <f>IF(AZ68="CONFORME","CONFORME ✓","NÃO CONFORME ✗")</f>
        <v/>
      </c>
      <c r="M68" s="102">
        <f>IF(F68=$Z$2,"",VLOOKUP(F68,'DATASHEET EQUIPAMENTOS'!D:N,4,FALSE))</f>
        <v/>
      </c>
      <c r="N68" s="103" t="n">
        <v>3</v>
      </c>
      <c r="O68" s="102">
        <f>IF(F68=$Z$2,"",VLOOKUP(F68,'DATASHEET EQUIPAMENTOS'!D:N,5,FALSE))</f>
        <v/>
      </c>
      <c r="P68" s="103" t="n">
        <v>2</v>
      </c>
      <c r="Q68" s="102">
        <f>IF(F68=$Z$2,"",VLOOKUP(F68,'DATASHEET EQUIPAMENTOS'!D:N,6,FALSE))</f>
        <v/>
      </c>
      <c r="R68" s="104" t="n"/>
      <c r="S68" s="95">
        <f>IF(Tabela2[[#This Row],[Instalado Sensor Motor]]="Linear","CONFORME ✓",IF(SUM(M68,O68,Q68)&lt;SUM(N68,P68,R68),"CONFORME ✓",IF(SUM(M68,O68,Q68)=SUM(N68,P68,R68),"CONFORME ✓","NÃO CONFORME ✗")))</f>
        <v/>
      </c>
      <c r="T68" s="91">
        <f>IF(F68=$Z$2,"",VLOOKUP(F68,'DATASHEET EQUIPAMENTOS'!D:N,7,FALSE))</f>
        <v/>
      </c>
      <c r="U68" s="57" t="n">
        <v>6</v>
      </c>
      <c r="V68" s="56">
        <f>IF(F68=$Z$2,"",VLOOKUP(F68,'DATASHEET EQUIPAMENTOS'!D:N,8,FALSE))</f>
        <v/>
      </c>
      <c r="W68" s="57" t="n">
        <v>6</v>
      </c>
      <c r="X68" s="56">
        <f>IF(F68=$Z$2,"",VLOOKUP(F68,'DATASHEET EQUIPAMENTOS'!D:N,9,FALSE))</f>
        <v/>
      </c>
      <c r="Y68" s="57" t="n"/>
      <c r="Z68" s="57">
        <f>IF(SUM(T68,V68,X68)&lt;=SUM(U68,W68,Y68),"CONFORME ✓",IF(SUM(T68,V68,X68)&gt;SUM(U68,W68,Y68),"NÃO CONFORME ✗"))</f>
        <v/>
      </c>
      <c r="AA68" s="56">
        <f>IF(F68=$Z$2,"",VLOOKUP(F68,'DATASHEET EQUIPAMENTOS'!D:N,10,FALSE))</f>
        <v/>
      </c>
      <c r="AB68" s="57" t="n"/>
      <c r="AC68" s="56">
        <f>IF(F68=$Z$2,"",VLOOKUP(F68,'DATASHEET EQUIPAMENTOS'!D:N,11,FALSE))</f>
        <v/>
      </c>
      <c r="AD68" s="57" t="n"/>
      <c r="AE68" s="56">
        <f>IF(F68=$Z$2,"",VLOOKUP(F68,'DATASHEET EQUIPAMENTOS'!D:O,12,FALSE))</f>
        <v/>
      </c>
      <c r="AF68" s="57" t="n"/>
      <c r="AG68" s="57">
        <f>IF(SUM(AA68,AC68,AE68)&lt;=SUM(AB68,AD68,AF68),"CONFORME ✓",IF(SUM(AA68,AC68,AE68)&gt;SUM(AB68,AD68,AF68),"NÃO CONFORME ✗"))</f>
        <v/>
      </c>
      <c r="AH68" s="72" t="n"/>
      <c r="AI68" s="72" t="n"/>
      <c r="AJ68" s="72" t="n"/>
      <c r="AK68" s="7" t="inlineStr">
        <is>
          <t>ITENS ESTÃO CONFORME O PEDIDO</t>
        </is>
      </c>
      <c r="AL68" s="58">
        <f>IFERROR(CALCULOS!H63,"NECESSÁRIO REVISAR DATASHEET")</f>
        <v/>
      </c>
      <c r="AM6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8" s="64">
        <f>SUM(Tabela2[[#This Row],[Nota de Prioridade Quantitativa(NOTAS: 1 PIOR NOTA; 5 MELHOR NOTA)]],Tabela2[[#This Row],[Nota de Prioridade Qualitativa(NOTAS: 1 PIOR NOTA;  5 MELHOR NOTA)]])</f>
        <v/>
      </c>
      <c r="AO68" s="7" t="n">
        <v>152493</v>
      </c>
      <c r="AP68" s="64">
        <f>SUM(Tabela2[[#This Row],[Nota de Prioridade Quantitativa(NOTAS: 1 PIOR NOTA; 5 MELHOR NOTA)]],Tabela2[[#This Row],[Nota de Prioridade Qualitativa(NOTAS: 1 PIOR NOTA;  5 MELHOR NOTA)]])</f>
        <v/>
      </c>
      <c r="AQ68" s="7" t="n"/>
      <c r="AR68" s="64">
        <f>SUM(Tabela2[[#This Row],[Nota de Prioridade Quantitativa(NOTAS: 1 PIOR NOTA; 5 MELHOR NOTA)]],Tabela2[[#This Row],[Nota de Prioridade Qualitativa(NOTAS: 1 PIOR NOTA;  5 MELHOR NOTA)]])</f>
        <v/>
      </c>
      <c r="AS68" s="7" t="n"/>
      <c r="AZ68" s="20">
        <f t="array" ref="AZ68">StatusCarga(G68,H68,J68,K68)</f>
        <v/>
      </c>
      <c r="BA68" s="20">
        <f>IF(AZ68="CONFORME","CONFORME ✓","NÃO CONFORME ✗")</f>
        <v/>
      </c>
      <c r="BB68" t="n">
        <v>0</v>
      </c>
      <c r="BC68" t="n">
        <v>60</v>
      </c>
      <c r="BD68" t="n">
        <v>0</v>
      </c>
      <c r="BE68" t="n">
        <v>0</v>
      </c>
      <c r="BF68" t="inlineStr">
        <is>
          <t>CONFORME</t>
        </is>
      </c>
    </row>
    <row r="69" hidden="1" ht="21.75" customHeight="1" thickBot="1">
      <c r="A69" s="77" t="inlineStr">
        <is>
          <t>VGR</t>
        </is>
      </c>
      <c r="B69" s="77" t="inlineStr">
        <is>
          <t>Pico</t>
        </is>
      </c>
      <c r="C69" s="80" t="inlineStr">
        <is>
          <t>CA5414</t>
        </is>
      </c>
      <c r="D69" s="80" t="inlineStr">
        <is>
          <t>AFEX</t>
        </is>
      </c>
      <c r="E69" s="78" t="inlineStr">
        <is>
          <t>CATERPILLAR</t>
        </is>
      </c>
      <c r="F69" s="80" t="inlineStr">
        <is>
          <t>cat 785C</t>
        </is>
      </c>
      <c r="G69" s="81">
        <f>IFERROR(IF(F69=$AB$2,"",VLOOKUP(F69,'DATASHEET EQUIPAMENTOS'!D:N,2,FALSE)),"")</f>
        <v/>
      </c>
      <c r="H69" s="82" t="inlineStr">
        <is>
          <t>3x30lbs</t>
        </is>
      </c>
      <c r="I69" s="57">
        <f>_xlfn.XLOOKUP(Tabela2[[#This Row],[Modelo]],'DATASHEET EQUIPAMENTOS'!D:D,'DATASHEET EQUIPAMENTOS'!P:P,"",0,1)</f>
        <v/>
      </c>
      <c r="J69" s="81">
        <f>IF(F69=$Z$2,"",VLOOKUP(F69,'DATASHEET EQUIPAMENTOS'!D:N,3,FALSE))</f>
        <v/>
      </c>
      <c r="K69" s="85" t="n">
        <v>0</v>
      </c>
      <c r="L69" s="95">
        <f>IF(AZ69="CONFORME","CONFORME ✓","NÃO CONFORME ✗")</f>
        <v/>
      </c>
      <c r="M69" s="102">
        <f>IF(F69=$Z$2,"",VLOOKUP(F69,'DATASHEET EQUIPAMENTOS'!D:N,4,FALSE))</f>
        <v/>
      </c>
      <c r="N69" s="103" t="n">
        <v>4</v>
      </c>
      <c r="O69" s="102">
        <f>IF(F69=$Z$2,"",VLOOKUP(F69,'DATASHEET EQUIPAMENTOS'!D:N,5,FALSE))</f>
        <v/>
      </c>
      <c r="P69" s="103" t="n"/>
      <c r="Q69" s="102">
        <f>IF(F69=$Z$2,"",VLOOKUP(F69,'DATASHEET EQUIPAMENTOS'!D:N,6,FALSE))</f>
        <v/>
      </c>
      <c r="R69" s="104" t="n"/>
      <c r="S69" s="95">
        <f>IF(Tabela2[[#This Row],[Instalado Sensor Motor]]="Linear","CONFORME ✓",IF(SUM(M69,O69,Q69)&lt;SUM(N69,P69,R69),"CONFORME ✓",IF(SUM(M69,O69,Q69)=SUM(N69,P69,R69),"CONFORME ✓","NÃO CONFORME ✗")))</f>
        <v/>
      </c>
      <c r="T69" s="91">
        <f>IF(F69=$Z$2,"",VLOOKUP(F69,'DATASHEET EQUIPAMENTOS'!D:N,7,FALSE))</f>
        <v/>
      </c>
      <c r="U69" s="57" t="n">
        <v>12</v>
      </c>
      <c r="V69" s="56">
        <f>IF(F69=$Z$2,"",VLOOKUP(F69,'DATASHEET EQUIPAMENTOS'!D:N,8,FALSE))</f>
        <v/>
      </c>
      <c r="W69" s="57" t="n"/>
      <c r="X69" s="56">
        <f>IF(F69=$Z$2,"",VLOOKUP(F69,'DATASHEET EQUIPAMENTOS'!D:N,9,FALSE))</f>
        <v/>
      </c>
      <c r="Y69" s="57" t="n"/>
      <c r="Z69" s="57">
        <f>IF(SUM(T69,V69,X69)&lt;=SUM(U69,W69,Y69),"CONFORME ✓",IF(SUM(T69,V69,X69)&gt;SUM(U69,W69,Y69),"NÃO CONFORME ✗"))</f>
        <v/>
      </c>
      <c r="AA69" s="56">
        <f>IF(F69=$Z$2,"",VLOOKUP(F69,'DATASHEET EQUIPAMENTOS'!D:N,10,FALSE))</f>
        <v/>
      </c>
      <c r="AB69" s="57" t="n"/>
      <c r="AC69" s="56">
        <f>IF(F69=$Z$2,"",VLOOKUP(F69,'DATASHEET EQUIPAMENTOS'!D:N,11,FALSE))</f>
        <v/>
      </c>
      <c r="AD69" s="57" t="n"/>
      <c r="AE69" s="56">
        <f>IF(F69=$Z$2,"",VLOOKUP(F69,'DATASHEET EQUIPAMENTOS'!D:O,12,FALSE))</f>
        <v/>
      </c>
      <c r="AF69" s="57" t="n"/>
      <c r="AG69" s="57">
        <f>IF(SUM(AA69,AC69,AE69)&lt;=SUM(AB69,AD69,AF69),"CONFORME ✓",IF(SUM(AA69,AC69,AE69)&gt;SUM(AB69,AD69,AF69),"NÃO CONFORME ✗"))</f>
        <v/>
      </c>
      <c r="AH69" s="72" t="n">
        <v>2.5</v>
      </c>
      <c r="AI69" s="72" t="n">
        <v>2.5</v>
      </c>
      <c r="AJ69" s="72" t="n">
        <v>5</v>
      </c>
      <c r="AK69" s="7" t="inlineStr">
        <is>
          <t xml:space="preserve">REFAZER O RELATÓRIO, DADOS INCOMPLETOS </t>
        </is>
      </c>
      <c r="AL69" s="58">
        <f>IFERROR(CALCULOS!H64,"NECESSÁRIO REVISAR DATASHEET")</f>
        <v/>
      </c>
      <c r="AM6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69" s="64">
        <f>SUM(Tabela2[[#This Row],[Nota de Prioridade Quantitativa(NOTAS: 1 PIOR NOTA; 5 MELHOR NOTA)]],Tabela2[[#This Row],[Nota de Prioridade Qualitativa(NOTAS: 1 PIOR NOTA;  5 MELHOR NOTA)]])</f>
        <v/>
      </c>
      <c r="AO69" s="7" t="n">
        <v>151810</v>
      </c>
      <c r="AP69" s="64">
        <f>SUM(Tabela2[[#This Row],[Nota de Prioridade Quantitativa(NOTAS: 1 PIOR NOTA; 5 MELHOR NOTA)]],Tabela2[[#This Row],[Nota de Prioridade Qualitativa(NOTAS: 1 PIOR NOTA;  5 MELHOR NOTA)]])</f>
        <v/>
      </c>
      <c r="AQ69" s="7" t="n"/>
      <c r="AR69" s="64">
        <f>SUM(Tabela2[[#This Row],[Nota de Prioridade Quantitativa(NOTAS: 1 PIOR NOTA; 5 MELHOR NOTA)]],Tabela2[[#This Row],[Nota de Prioridade Qualitativa(NOTAS: 1 PIOR NOTA;  5 MELHOR NOTA)]])</f>
        <v/>
      </c>
      <c r="AS69" s="7" t="n"/>
      <c r="AZ69" s="20">
        <f t="array" ref="AZ69">StatusCarga(G69,H69,J69,K69)</f>
        <v/>
      </c>
      <c r="BA69" s="20">
        <f>IF(AZ69="CONFORME","CONFORME ✓","NÃO CONFORME ✗")</f>
        <v/>
      </c>
      <c r="BB69" t="n">
        <v>0</v>
      </c>
      <c r="BC69" t="n">
        <v>90</v>
      </c>
      <c r="BD69" t="n">
        <v>0</v>
      </c>
      <c r="BE69" t="n">
        <v>0</v>
      </c>
      <c r="BF69" t="inlineStr">
        <is>
          <t>CONFORME</t>
        </is>
      </c>
    </row>
    <row r="70" hidden="1" ht="21.75" customHeight="1" thickBot="1">
      <c r="A70" s="77" t="inlineStr">
        <is>
          <t>Mariana</t>
        </is>
      </c>
      <c r="B70" s="77" t="inlineStr">
        <is>
          <t>Fazendão</t>
        </is>
      </c>
      <c r="C70" s="80" t="inlineStr">
        <is>
          <t>TE4422</t>
        </is>
      </c>
      <c r="D70" s="80" t="inlineStr">
        <is>
          <t>AFEX</t>
        </is>
      </c>
      <c r="E70" s="78" t="inlineStr">
        <is>
          <t>KOMATSU</t>
        </is>
      </c>
      <c r="F70" s="80" t="inlineStr">
        <is>
          <t>KOMATSU D375A-6</t>
        </is>
      </c>
      <c r="G70" s="81">
        <f>IFERROR(IF(F70=$AB$2,"",VLOOKUP(F70,'DATASHEET EQUIPAMENTOS'!D:N,2,FALSE)),"")</f>
        <v/>
      </c>
      <c r="H70" s="82" t="inlineStr">
        <is>
          <t>2x30lbs</t>
        </is>
      </c>
      <c r="I70" s="57">
        <f>_xlfn.XLOOKUP(Tabela2[[#This Row],[Modelo]],'DATASHEET EQUIPAMENTOS'!D:D,'DATASHEET EQUIPAMENTOS'!P:P,"",0,1)</f>
        <v/>
      </c>
      <c r="J70" s="81">
        <f>IF(F70=$Z$2,"",VLOOKUP(F70,'DATASHEET EQUIPAMENTOS'!D:N,3,FALSE))</f>
        <v/>
      </c>
      <c r="K70" s="85" t="n">
        <v>0</v>
      </c>
      <c r="L70" s="95">
        <f>IF(AZ70="CONFORME","CONFORME ✓","NÃO CONFORME ✗")</f>
        <v/>
      </c>
      <c r="M70" s="102">
        <f>IF(F70=$Z$2,"",VLOOKUP(F70,'DATASHEET EQUIPAMENTOS'!D:N,4,FALSE))</f>
        <v/>
      </c>
      <c r="N70" s="103" t="n">
        <v>5</v>
      </c>
      <c r="O70" s="102">
        <f>IF(F70=$Z$2,"",VLOOKUP(F70,'DATASHEET EQUIPAMENTOS'!D:N,5,FALSE))</f>
        <v/>
      </c>
      <c r="P70" s="103" t="n">
        <v>0</v>
      </c>
      <c r="Q70" s="102">
        <f>IF(F70=$Z$2,"",VLOOKUP(F70,'DATASHEET EQUIPAMENTOS'!D:N,6,FALSE))</f>
        <v/>
      </c>
      <c r="R70" s="104" t="n">
        <v>1</v>
      </c>
      <c r="S70" s="95">
        <f>IF(Tabela2[[#This Row],[Instalado Sensor Motor]]="Linear","CONFORME ✓",IF(SUM(M70,O70,Q70)&lt;SUM(N70,P70,R70),"CONFORME ✓",IF(SUM(M70,O70,Q70)=SUM(N70,P70,R70),"CONFORME ✓","NÃO CONFORME ✗")))</f>
        <v/>
      </c>
      <c r="T70" s="91">
        <f>IF(F70=$Z$2,"",VLOOKUP(F70,'DATASHEET EQUIPAMENTOS'!D:N,7,FALSE))</f>
        <v/>
      </c>
      <c r="U70" s="57" t="n">
        <v>6</v>
      </c>
      <c r="V70" s="56">
        <f>IF(F70=$Z$2,"",VLOOKUP(F70,'DATASHEET EQUIPAMENTOS'!D:N,8,FALSE))</f>
        <v/>
      </c>
      <c r="W70" s="57" t="n"/>
      <c r="X70" s="56">
        <f>IF(F70=$Z$2,"",VLOOKUP(F70,'DATASHEET EQUIPAMENTOS'!D:N,9,FALSE))</f>
        <v/>
      </c>
      <c r="Y70" s="57" t="n">
        <v>6</v>
      </c>
      <c r="Z70" s="57">
        <f>IF(SUM(T70,V70,X70)&lt;=SUM(U70,W70,Y70),"CONFORME ✓",IF(SUM(T70,V70,X70)&gt;SUM(U70,W70,Y70),"NÃO CONFORME ✗"))</f>
        <v/>
      </c>
      <c r="AA70" s="56">
        <f>IF(F70=$Z$2,"",VLOOKUP(F70,'DATASHEET EQUIPAMENTOS'!D:N,10,FALSE))</f>
        <v/>
      </c>
      <c r="AB70" s="57" t="n"/>
      <c r="AC70" s="56">
        <f>IF(F70=$Z$2,"",VLOOKUP(F70,'DATASHEET EQUIPAMENTOS'!D:N,11,FALSE))</f>
        <v/>
      </c>
      <c r="AD70" s="57" t="n"/>
      <c r="AE70" s="56">
        <f>IF(F70=$Z$2,"",VLOOKUP(F70,'DATASHEET EQUIPAMENTOS'!D:O,12,FALSE))</f>
        <v/>
      </c>
      <c r="AF70" s="57" t="n"/>
      <c r="AG70" s="57">
        <f>IF(SUM(AA70,AC70,AE70)&lt;=SUM(AB70,AD70,AF70),"CONFORME ✓",IF(SUM(AA70,AC70,AE70)&gt;SUM(AB70,AD70,AF70),"NÃO CONFORME ✗"))</f>
        <v/>
      </c>
      <c r="AH70" s="72" t="n"/>
      <c r="AI70" s="72" t="n"/>
      <c r="AJ70" s="72" t="n"/>
      <c r="AK70" s="7" t="inlineStr">
        <is>
          <t>SISTEMA NAO POSSUI CABO LINEAR E AGENTE LIQUIDO.NECESSARIO REVISAR POSIÇÃO DOS SENSORES PONTUAIS</t>
        </is>
      </c>
      <c r="AL70" s="58">
        <f>IFERROR(CALCULOS!H65,"NECESSÁRIO REVISAR DATASHEET")</f>
        <v/>
      </c>
      <c r="AM7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0" s="64">
        <f>SUM(Tabela2[[#This Row],[Nota de Prioridade Quantitativa(NOTAS: 1 PIOR NOTA; 5 MELHOR NOTA)]],Tabela2[[#This Row],[Nota de Prioridade Qualitativa(NOTAS: 1 PIOR NOTA;  5 MELHOR NOTA)]])</f>
        <v/>
      </c>
      <c r="AO70" s="7" t="n">
        <v>152457</v>
      </c>
      <c r="AP70" s="64">
        <f>SUM(Tabela2[[#This Row],[Nota de Prioridade Quantitativa(NOTAS: 1 PIOR NOTA; 5 MELHOR NOTA)]],Tabela2[[#This Row],[Nota de Prioridade Qualitativa(NOTAS: 1 PIOR NOTA;  5 MELHOR NOTA)]])</f>
        <v/>
      </c>
      <c r="AQ70" s="7" t="n"/>
      <c r="AR70" s="64">
        <f>SUM(Tabela2[[#This Row],[Nota de Prioridade Quantitativa(NOTAS: 1 PIOR NOTA; 5 MELHOR NOTA)]],Tabela2[[#This Row],[Nota de Prioridade Qualitativa(NOTAS: 1 PIOR NOTA;  5 MELHOR NOTA)]])</f>
        <v/>
      </c>
      <c r="AS70" s="7" t="n"/>
      <c r="AZ70" s="20">
        <f t="array" ref="AZ70">StatusCarga(G70,H70,J70,K70)</f>
        <v/>
      </c>
      <c r="BA70" s="20">
        <f>IF(AZ70="CONFORME","CONFORME ✓","NÃO CONFORME ✗")</f>
        <v/>
      </c>
      <c r="BB70" t="n">
        <v>0</v>
      </c>
      <c r="BC70" t="n">
        <v>60</v>
      </c>
      <c r="BD70" t="n">
        <v>0</v>
      </c>
      <c r="BE70" t="n">
        <v>0</v>
      </c>
      <c r="BF70" t="inlineStr">
        <is>
          <t>CONFORME</t>
        </is>
      </c>
    </row>
    <row r="71" hidden="1" ht="21.75" customHeight="1" thickBot="1">
      <c r="A71" s="77" t="inlineStr">
        <is>
          <t>Mariana</t>
        </is>
      </c>
      <c r="B71" s="77" t="inlineStr">
        <is>
          <t>Fazendão</t>
        </is>
      </c>
      <c r="C71" s="80" t="inlineStr">
        <is>
          <t>TE4409</t>
        </is>
      </c>
      <c r="D71" s="80" t="inlineStr">
        <is>
          <t>KIDDE</t>
        </is>
      </c>
      <c r="E71" s="78" t="inlineStr">
        <is>
          <t>KOMATSU</t>
        </is>
      </c>
      <c r="F71" s="80" t="inlineStr">
        <is>
          <t>KOMATSU D375A-5</t>
        </is>
      </c>
      <c r="G71" s="81">
        <f>IFERROR(IF(F71=$AB$2,"",VLOOKUP(F71,'DATASHEET EQUIPAMENTOS'!D:N,2,FALSE)),"")</f>
        <v/>
      </c>
      <c r="H71" s="82" t="inlineStr">
        <is>
          <t>1x50lbs</t>
        </is>
      </c>
      <c r="I71" s="57">
        <f>_xlfn.XLOOKUP(Tabela2[[#This Row],[Modelo]],'DATASHEET EQUIPAMENTOS'!D:D,'DATASHEET EQUIPAMENTOS'!P:P,"",0,1)</f>
        <v/>
      </c>
      <c r="J71" s="81">
        <f>IF(F71=$Z$2,"",VLOOKUP(F71,'DATASHEET EQUIPAMENTOS'!D:N,3,FALSE))</f>
        <v/>
      </c>
      <c r="K71" s="85" t="inlineStr">
        <is>
          <t>1x5gal</t>
        </is>
      </c>
      <c r="L71" s="95">
        <f>IF(AZ71="CONFORME","CONFORME ✓","NÃO CONFORME ✗")</f>
        <v/>
      </c>
      <c r="M71" s="102">
        <f>IF(F71=$Z$2,"",VLOOKUP(F71,'DATASHEET EQUIPAMENTOS'!D:N,4,FALSE))</f>
        <v/>
      </c>
      <c r="N71" s="103" t="inlineStr">
        <is>
          <t>Linear</t>
        </is>
      </c>
      <c r="O71" s="102">
        <f>IF(F71=$Z$2,"",VLOOKUP(F71,'DATASHEET EQUIPAMENTOS'!D:N,5,FALSE))</f>
        <v/>
      </c>
      <c r="P71" s="103" t="n"/>
      <c r="Q71" s="102">
        <f>IF(F71=$Z$2,"",VLOOKUP(F71,'DATASHEET EQUIPAMENTOS'!D:N,6,FALSE))</f>
        <v/>
      </c>
      <c r="R71" s="104" t="n"/>
      <c r="S71" s="95">
        <f>IF(Tabela2[[#This Row],[Instalado Sensor Motor]]="Linear","CONFORME ✓",IF(SUM(M71,O71,Q71)&lt;SUM(N71,P71,R71),"CONFORME ✓",IF(SUM(M71,O71,Q71)=SUM(N71,P71,R71),"CONFORME ✓","NÃO CONFORME ✗")))</f>
        <v/>
      </c>
      <c r="T71" s="91">
        <f>IF(F71=$Z$2,"",VLOOKUP(F71,'DATASHEET EQUIPAMENTOS'!D:N,7,FALSE))</f>
        <v/>
      </c>
      <c r="U71" s="57" t="n">
        <v>6</v>
      </c>
      <c r="V71" s="56">
        <f>IF(F71=$Z$2,"",VLOOKUP(F71,'DATASHEET EQUIPAMENTOS'!D:N,8,FALSE))</f>
        <v/>
      </c>
      <c r="W71" s="57" t="n">
        <v>0</v>
      </c>
      <c r="X71" s="56">
        <f>IF(F71=$Z$2,"",VLOOKUP(F71,'DATASHEET EQUIPAMENTOS'!D:N,9,FALSE))</f>
        <v/>
      </c>
      <c r="Y71" s="57" t="n">
        <v>2</v>
      </c>
      <c r="Z71" s="57">
        <f>IF(SUM(T71,V71,X71)&lt;=SUM(U71,W71,Y71),"CONFORME ✓",IF(SUM(T71,V71,X71)&gt;SUM(U71,W71,Y71),"NÃO CONFORME ✗"))</f>
        <v/>
      </c>
      <c r="AA71" s="56">
        <f>IF(F71=$Z$2,"",VLOOKUP(F71,'DATASHEET EQUIPAMENTOS'!D:N,10,FALSE))</f>
        <v/>
      </c>
      <c r="AB71" s="57" t="n">
        <v>4</v>
      </c>
      <c r="AC71" s="56">
        <f>IF(F71=$Z$2,"",VLOOKUP(F71,'DATASHEET EQUIPAMENTOS'!D:N,11,FALSE))</f>
        <v/>
      </c>
      <c r="AD71" s="57" t="n">
        <v>0</v>
      </c>
      <c r="AE71" s="56">
        <f>IF(F71=$Z$2,"",VLOOKUP(F71,'DATASHEET EQUIPAMENTOS'!D:O,12,FALSE))</f>
        <v/>
      </c>
      <c r="AF71" s="57" t="n">
        <v>0</v>
      </c>
      <c r="AG71" s="57">
        <f>IF(SUM(AA71,AC71,AE71)&lt;=SUM(AB71,AD71,AF71),"CONFORME ✓",IF(SUM(AA71,AC71,AE71)&gt;SUM(AB71,AD71,AF71),"NÃO CONFORME ✗"))</f>
        <v/>
      </c>
      <c r="AH71" s="72" t="n"/>
      <c r="AI71" s="72" t="n"/>
      <c r="AJ71" s="72" t="n"/>
      <c r="AK71" s="7" t="inlineStr">
        <is>
          <t>EQUIPAMENTO SISTEMA KIDDE,NAO POSSUI SENSORES PONTUAIS.NECESSARIO REVISAR LOCAL DA PASSAGEM DO CABO LINEAR</t>
        </is>
      </c>
      <c r="AL71" s="58">
        <f>IFERROR(CALCULOS!H66,"NECESSÁRIO REVISAR DATASHEET")</f>
        <v/>
      </c>
      <c r="AM7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1" s="64">
        <f>SUM(Tabela2[[#This Row],[Nota de Prioridade Quantitativa(NOTAS: 1 PIOR NOTA; 5 MELHOR NOTA)]],Tabela2[[#This Row],[Nota de Prioridade Qualitativa(NOTAS: 1 PIOR NOTA;  5 MELHOR NOTA)]])</f>
        <v/>
      </c>
      <c r="AO71" s="7" t="n">
        <v>152372</v>
      </c>
      <c r="AP71" s="64">
        <f>SUM(Tabela2[[#This Row],[Nota de Prioridade Quantitativa(NOTAS: 1 PIOR NOTA; 5 MELHOR NOTA)]],Tabela2[[#This Row],[Nota de Prioridade Qualitativa(NOTAS: 1 PIOR NOTA;  5 MELHOR NOTA)]])</f>
        <v/>
      </c>
      <c r="AQ71" s="7" t="n"/>
      <c r="AR71" s="64">
        <f>SUM(Tabela2[[#This Row],[Nota de Prioridade Quantitativa(NOTAS: 1 PIOR NOTA; 5 MELHOR NOTA)]],Tabela2[[#This Row],[Nota de Prioridade Qualitativa(NOTAS: 1 PIOR NOTA;  5 MELHOR NOTA)]])</f>
        <v/>
      </c>
      <c r="AS71" s="7" t="n"/>
      <c r="AZ71" s="20">
        <f t="array" ref="AZ71">StatusCarga(G71,H71,J71,K71)</f>
        <v/>
      </c>
      <c r="BA71" s="20">
        <f>IF(AZ71="CONFORME","CONFORME ✓","NÃO CONFORME ✗")</f>
        <v/>
      </c>
      <c r="BB71" t="n">
        <v>0</v>
      </c>
      <c r="BC71" t="n">
        <v>50</v>
      </c>
      <c r="BD71" t="n">
        <v>0</v>
      </c>
      <c r="BE71" t="n">
        <v>5</v>
      </c>
      <c r="BF71" t="inlineStr">
        <is>
          <t>CONFORME</t>
        </is>
      </c>
    </row>
    <row r="72" hidden="1" ht="21.75" customHeight="1" thickBot="1">
      <c r="A72" s="77" t="inlineStr">
        <is>
          <t>Paraoupeba</t>
        </is>
      </c>
      <c r="B72" s="77" t="inlineStr">
        <is>
          <t>Horizontes</t>
        </is>
      </c>
      <c r="C72" s="80" t="inlineStr">
        <is>
          <t>CA5464</t>
        </is>
      </c>
      <c r="D72" s="80" t="inlineStr">
        <is>
          <t>AFEX</t>
        </is>
      </c>
      <c r="E72" s="78" t="inlineStr">
        <is>
          <t>CATERPILLAR</t>
        </is>
      </c>
      <c r="F72" s="80" t="inlineStr">
        <is>
          <t>CAT 785C</t>
        </is>
      </c>
      <c r="G72" s="81">
        <f>IFERROR(IF(F72=$AB$2,"",VLOOKUP(F72,'DATASHEET EQUIPAMENTOS'!D:N,2,FALSE)),"")</f>
        <v/>
      </c>
      <c r="H72" s="82" t="inlineStr">
        <is>
          <t>3x30lbs</t>
        </is>
      </c>
      <c r="I72" s="57">
        <f>_xlfn.XLOOKUP(Tabela2[[#This Row],[Modelo]],'DATASHEET EQUIPAMENTOS'!D:D,'DATASHEET EQUIPAMENTOS'!P:P,"",0,1)</f>
        <v/>
      </c>
      <c r="J72" s="81">
        <f>IF(F72=$Z$2,"",VLOOKUP(F72,'DATASHEET EQUIPAMENTOS'!D:N,3,FALSE))</f>
        <v/>
      </c>
      <c r="K72" s="85" t="n">
        <v>0</v>
      </c>
      <c r="L72" s="95">
        <f>IF(AZ72="CONFORME","CONFORME ✓","NÃO CONFORME ✗")</f>
        <v/>
      </c>
      <c r="M72" s="119">
        <f>IF(F72=$Z$2,"",VLOOKUP(F72,'DATASHEET EQUIPAMENTOS'!D:N,4,FALSE))</f>
        <v/>
      </c>
      <c r="N72" s="98" t="n">
        <v>4</v>
      </c>
      <c r="O72" s="97">
        <f>IF(F72=$Z$2,"",VLOOKUP(F72,'DATASHEET EQUIPAMENTOS'!D:N,5,FALSE))</f>
        <v/>
      </c>
      <c r="P72" s="98" t="n">
        <v>2</v>
      </c>
      <c r="Q72" s="97">
        <f>IF(F72=$Z$2,"",VLOOKUP(F72,'DATASHEET EQUIPAMENTOS'!D:N,6,FALSE))</f>
        <v/>
      </c>
      <c r="R72" s="99" t="n">
        <v>1</v>
      </c>
      <c r="S72" s="100">
        <f>IF(Tabela2[[#This Row],[Instalado Sensor Motor]]="Linear","CONFORME ✓",IF(SUM(M72,O72,Q72)&lt;SUM(N72,P72,R72),"CONFORME ✓",IF(SUM(M72,O72,Q72)=SUM(N72,P72,R72),"CONFORME ✓","NÃO CONFORME ✗")))</f>
        <v/>
      </c>
      <c r="T72" s="91">
        <f>IF(F72=$Z$2,"",VLOOKUP(F72,'DATASHEET EQUIPAMENTOS'!D:N,7,FALSE))</f>
        <v/>
      </c>
      <c r="U72" s="57" t="n">
        <v>12</v>
      </c>
      <c r="V72" s="56">
        <f>IF(F72=$Z$2,"",VLOOKUP(F72,'DATASHEET EQUIPAMENTOS'!D:N,8,FALSE))</f>
        <v/>
      </c>
      <c r="W72" s="62" t="n">
        <v>3</v>
      </c>
      <c r="X72" s="56">
        <f>IF(F72=$Z$2,"",VLOOKUP(F72,'DATASHEET EQUIPAMENTOS'!D:N,9,FALSE))</f>
        <v/>
      </c>
      <c r="Y72" s="62" t="n">
        <v>3</v>
      </c>
      <c r="Z72" s="57">
        <f>IF(SUM(T72,V72,X72)&lt;=SUM(U72,W72,Y72),"CONFORME ✓",IF(SUM(T72,V72,X72)&gt;SUM(U72,W72,Y72),"NÃO CONFORME ✗"))</f>
        <v/>
      </c>
      <c r="AA72" s="56">
        <f>IF(F72=$Z$2,"",VLOOKUP(F72,'DATASHEET EQUIPAMENTOS'!D:N,10,FALSE))</f>
        <v/>
      </c>
      <c r="AB72" s="57" t="n">
        <v>0</v>
      </c>
      <c r="AC72" s="56">
        <f>IF(F72=$Z$2,"",VLOOKUP(F72,'DATASHEET EQUIPAMENTOS'!D:N,11,FALSE))</f>
        <v/>
      </c>
      <c r="AD72" s="57" t="n">
        <v>0</v>
      </c>
      <c r="AE72" s="56">
        <f>IF(F72=$Z$2,"",VLOOKUP(F72,'DATASHEET EQUIPAMENTOS'!D:O,12,FALSE))</f>
        <v/>
      </c>
      <c r="AF72" s="57" t="n">
        <v>0</v>
      </c>
      <c r="AG72" s="57">
        <f>IF(SUM(AA72,AC72,AE72)&lt;=SUM(AB72,AD72,AF72),"CONFORME ✓",IF(SUM(AA72,AC72,AE72)&gt;SUM(AB72,AD72,AF72),"NÃO CONFORME ✗"))</f>
        <v/>
      </c>
      <c r="AH72" s="72" t="n">
        <v>4.5</v>
      </c>
      <c r="AI72" s="72" t="n">
        <v>4.5</v>
      </c>
      <c r="AJ72" s="72" t="n">
        <v>5</v>
      </c>
      <c r="AK72" s="7" t="inlineStr">
        <is>
          <t>O EQUIPAMENTO NAO POSSUI CILINDROS DE AGENTE LÍQUIDO</t>
        </is>
      </c>
      <c r="AL72" s="58">
        <f>IFERROR(CALCULOS!H67,"NECESSÁRIO REVISAR DATASHEET")</f>
        <v/>
      </c>
      <c r="AM7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2" s="64">
        <f>SUM(Tabela2[[#This Row],[Nota de Prioridade Quantitativa(NOTAS: 1 PIOR NOTA; 5 MELHOR NOTA)]],Tabela2[[#This Row],[Nota de Prioridade Qualitativa(NOTAS: 1 PIOR NOTA;  5 MELHOR NOTA)]])</f>
        <v/>
      </c>
      <c r="AO72" s="7" t="n">
        <v>151585</v>
      </c>
      <c r="AP72" s="64">
        <f>SUM(Tabela2[[#This Row],[Nota de Prioridade Quantitativa(NOTAS: 1 PIOR NOTA; 5 MELHOR NOTA)]],Tabela2[[#This Row],[Nota de Prioridade Qualitativa(NOTAS: 1 PIOR NOTA;  5 MELHOR NOTA)]])</f>
        <v/>
      </c>
      <c r="AQ72" s="7" t="n"/>
      <c r="AR72" s="64">
        <f>SUM(Tabela2[[#This Row],[Nota de Prioridade Quantitativa(NOTAS: 1 PIOR NOTA; 5 MELHOR NOTA)]],Tabela2[[#This Row],[Nota de Prioridade Qualitativa(NOTAS: 1 PIOR NOTA;  5 MELHOR NOTA)]])</f>
        <v/>
      </c>
      <c r="AS72" s="7" t="n"/>
      <c r="AZ72" s="20">
        <f t="array" ref="AZ72">StatusCarga(G72,H72,J72,K72)</f>
        <v/>
      </c>
      <c r="BA72" s="20">
        <f>IF(AZ72="CONFORME","CONFORME ✓","NÃO CONFORME ✗")</f>
        <v/>
      </c>
      <c r="BB72" t="n">
        <v>0</v>
      </c>
      <c r="BC72" t="n">
        <v>90</v>
      </c>
      <c r="BD72" t="n">
        <v>0</v>
      </c>
      <c r="BE72" t="n">
        <v>0</v>
      </c>
      <c r="BF72" t="inlineStr">
        <is>
          <t>CONFORME</t>
        </is>
      </c>
    </row>
    <row r="73" hidden="1" ht="21.75" customHeight="1" thickBot="1">
      <c r="A73" s="77" t="inlineStr">
        <is>
          <t>Paraoupeba</t>
        </is>
      </c>
      <c r="B73" s="77" t="inlineStr">
        <is>
          <t>Viga</t>
        </is>
      </c>
      <c r="C73" s="80" t="inlineStr">
        <is>
          <t>CA55112</t>
        </is>
      </c>
      <c r="D73" s="80" t="inlineStr">
        <is>
          <t>AFEX</t>
        </is>
      </c>
      <c r="E73" s="78" t="inlineStr">
        <is>
          <t>CATERPILLAR</t>
        </is>
      </c>
      <c r="F73" s="80" t="inlineStr">
        <is>
          <t>cat 775G</t>
        </is>
      </c>
      <c r="G73" s="81">
        <f>IFERROR(IF(F73=$AB$2,"",VLOOKUP(F73,'DATASHEET EQUIPAMENTOS'!D:N,2,FALSE)),"")</f>
        <v/>
      </c>
      <c r="H73" s="82" t="inlineStr">
        <is>
          <t>1x60lbs</t>
        </is>
      </c>
      <c r="I73" s="57">
        <f>_xlfn.XLOOKUP(Tabela2[[#This Row],[Modelo]],'DATASHEET EQUIPAMENTOS'!D:D,'DATASHEET EQUIPAMENTOS'!P:P,"",0,1)</f>
        <v/>
      </c>
      <c r="J73" s="81">
        <f>IF(F73=$Z$2,"",VLOOKUP(F73,'DATASHEET EQUIPAMENTOS'!D:N,3,FALSE))</f>
        <v/>
      </c>
      <c r="K73" s="85" t="n">
        <v>0</v>
      </c>
      <c r="L73" s="95">
        <f>IF(AZ73="CONFORME","CONFORME ✓","NÃO CONFORME ✗")</f>
        <v/>
      </c>
      <c r="M73" s="102">
        <f>IF(F73=$Z$2,"",VLOOKUP(F73,'DATASHEET EQUIPAMENTOS'!D:N,4,FALSE))</f>
        <v/>
      </c>
      <c r="N73" s="103" t="n">
        <v>6</v>
      </c>
      <c r="O73" s="102">
        <f>IF(F73=$Z$2,"",VLOOKUP(F73,'DATASHEET EQUIPAMENTOS'!D:N,5,FALSE))</f>
        <v/>
      </c>
      <c r="P73" s="103" t="n"/>
      <c r="Q73" s="102">
        <f>IF(F73=$Z$2,"",VLOOKUP(F73,'DATASHEET EQUIPAMENTOS'!D:N,6,FALSE))</f>
        <v/>
      </c>
      <c r="R73" s="104" t="n"/>
      <c r="S73" s="95">
        <f>IF(Tabela2[[#This Row],[Instalado Sensor Motor]]="Linear","CONFORME ✓",IF(SUM(M73,O73,Q73)&lt;SUM(N73,P73,R73),"CONFORME ✓",IF(SUM(M73,O73,Q73)=SUM(N73,P73,R73),"CONFORME ✓","NÃO CONFORME ✗")))</f>
        <v/>
      </c>
      <c r="T73" s="91">
        <f>IF(F73=$Z$2,"",VLOOKUP(F73,'DATASHEET EQUIPAMENTOS'!D:N,7,FALSE))</f>
        <v/>
      </c>
      <c r="U73" s="57" t="n">
        <v>12</v>
      </c>
      <c r="V73" s="56">
        <f>IF(F73=$Z$2,"",VLOOKUP(F73,'DATASHEET EQUIPAMENTOS'!D:N,8,FALSE))</f>
        <v/>
      </c>
      <c r="W73" s="57" t="n"/>
      <c r="X73" s="56">
        <f>IF(F73=$Z$2,"",VLOOKUP(F73,'DATASHEET EQUIPAMENTOS'!D:N,9,FALSE))</f>
        <v/>
      </c>
      <c r="Y73" s="57" t="n"/>
      <c r="Z73" s="57">
        <f>IF(SUM(T73,V73,X73)&lt;=SUM(U73,W73,Y73),"CONFORME ✓",IF(SUM(T73,V73,X73)&gt;SUM(U73,W73,Y73),"NÃO CONFORME ✗"))</f>
        <v/>
      </c>
      <c r="AA73" s="56">
        <f>IF(F73=$Z$2,"",VLOOKUP(F73,'DATASHEET EQUIPAMENTOS'!D:N,10,FALSE))</f>
        <v/>
      </c>
      <c r="AB73" s="57" t="n"/>
      <c r="AC73" s="56">
        <f>IF(F73=$Z$2,"",VLOOKUP(F73,'DATASHEET EQUIPAMENTOS'!D:N,11,FALSE))</f>
        <v/>
      </c>
      <c r="AD73" s="57" t="n"/>
      <c r="AE73" s="56">
        <f>IF(F73=$Z$2,"",VLOOKUP(F73,'DATASHEET EQUIPAMENTOS'!D:O,12,FALSE))</f>
        <v/>
      </c>
      <c r="AF73" s="57" t="n"/>
      <c r="AG73" s="57">
        <f>IF(SUM(AA73,AC73,AE73)&lt;=SUM(AB73,AD73,AF73),"CONFORME ✓",IF(SUM(AA73,AC73,AE73)&gt;SUM(AB73,AD73,AF73),"NÃO CONFORME ✗"))</f>
        <v/>
      </c>
      <c r="AH73" s="72" t="n">
        <v>4</v>
      </c>
      <c r="AI73" s="72" t="n">
        <v>4</v>
      </c>
      <c r="AJ73" s="72" t="n">
        <v>4</v>
      </c>
      <c r="AK73" s="7" t="n"/>
      <c r="AL73" s="58">
        <f>IFERROR(CALCULOS!H68,"NECESSÁRIO REVISAR DATASHEET")</f>
        <v/>
      </c>
      <c r="AM7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3" s="64">
        <f>SUM(Tabela2[[#This Row],[Nota de Prioridade Quantitativa(NOTAS: 1 PIOR NOTA; 5 MELHOR NOTA)]],Tabela2[[#This Row],[Nota de Prioridade Qualitativa(NOTAS: 1 PIOR NOTA;  5 MELHOR NOTA)]])</f>
        <v/>
      </c>
      <c r="AO73" s="7" t="n">
        <v>152753</v>
      </c>
      <c r="AP73" s="64">
        <f>SUM(Tabela2[[#This Row],[Nota de Prioridade Quantitativa(NOTAS: 1 PIOR NOTA; 5 MELHOR NOTA)]],Tabela2[[#This Row],[Nota de Prioridade Qualitativa(NOTAS: 1 PIOR NOTA;  5 MELHOR NOTA)]])</f>
        <v/>
      </c>
      <c r="AQ73" s="7" t="n"/>
      <c r="AR73" s="64">
        <f>SUM(Tabela2[[#This Row],[Nota de Prioridade Quantitativa(NOTAS: 1 PIOR NOTA; 5 MELHOR NOTA)]],Tabela2[[#This Row],[Nota de Prioridade Qualitativa(NOTAS: 1 PIOR NOTA;  5 MELHOR NOTA)]])</f>
        <v/>
      </c>
      <c r="AS73" s="7" t="n"/>
      <c r="AZ73" s="20">
        <f t="array" ref="AZ73">StatusCarga(G73,H73,J73,K73)</f>
        <v/>
      </c>
      <c r="BA73" s="20">
        <f>IF(AZ73="CONFORME","CONFORME ✓","NÃO CONFORME ✗")</f>
        <v/>
      </c>
      <c r="BB73" t="n">
        <v>0</v>
      </c>
      <c r="BC73" t="n">
        <v>60</v>
      </c>
      <c r="BD73" t="n">
        <v>0</v>
      </c>
      <c r="BE73" t="n">
        <v>0</v>
      </c>
      <c r="BF73" t="inlineStr">
        <is>
          <t>CONFORME</t>
        </is>
      </c>
    </row>
    <row r="74" hidden="1" ht="21.75" customHeight="1" thickBot="1">
      <c r="A74" s="77" t="inlineStr">
        <is>
          <t>Paraoupeba</t>
        </is>
      </c>
      <c r="B74" s="77" t="inlineStr">
        <is>
          <t>Viga</t>
        </is>
      </c>
      <c r="C74" s="80" t="inlineStr">
        <is>
          <t>CA5549</t>
        </is>
      </c>
      <c r="D74" s="80" t="inlineStr">
        <is>
          <t>AFEX</t>
        </is>
      </c>
      <c r="E74" s="78" t="inlineStr">
        <is>
          <t>CATERPILLAR</t>
        </is>
      </c>
      <c r="F74" s="80" t="inlineStr">
        <is>
          <t>cat 775G</t>
        </is>
      </c>
      <c r="G74" s="81">
        <f>IFERROR(IF(F74=$AB$2,"",VLOOKUP(F74,'DATASHEET EQUIPAMENTOS'!D:N,2,FALSE)),"")</f>
        <v/>
      </c>
      <c r="H74" s="82" t="inlineStr">
        <is>
          <t>2x30lbs</t>
        </is>
      </c>
      <c r="I74" s="57">
        <f>_xlfn.XLOOKUP(Tabela2[[#This Row],[Modelo]],'DATASHEET EQUIPAMENTOS'!D:D,'DATASHEET EQUIPAMENTOS'!P:P,"",0,1)</f>
        <v/>
      </c>
      <c r="J74" s="81">
        <f>IF(F74=$Z$2,"",VLOOKUP(F74,'DATASHEET EQUIPAMENTOS'!D:N,3,FALSE))</f>
        <v/>
      </c>
      <c r="K74" s="85" t="n">
        <v>0</v>
      </c>
      <c r="L74" s="95">
        <f>IF(AZ74="CONFORME","CONFORME ✓","NÃO CONFORME ✗")</f>
        <v/>
      </c>
      <c r="M74" s="102">
        <f>IF(F74=$Z$2,"",VLOOKUP(F74,'DATASHEET EQUIPAMENTOS'!D:N,4,FALSE))</f>
        <v/>
      </c>
      <c r="N74" s="103" t="n">
        <v>5</v>
      </c>
      <c r="O74" s="102">
        <f>IF(F74=$Z$2,"",VLOOKUP(F74,'DATASHEET EQUIPAMENTOS'!D:N,5,FALSE))</f>
        <v/>
      </c>
      <c r="P74" s="103" t="n"/>
      <c r="Q74" s="102">
        <f>IF(F74=$Z$2,"",VLOOKUP(F74,'DATASHEET EQUIPAMENTOS'!D:N,6,FALSE))</f>
        <v/>
      </c>
      <c r="R74" s="104" t="n"/>
      <c r="S74" s="95">
        <f>IF(Tabela2[[#This Row],[Instalado Sensor Motor]]="Linear","CONFORME ✓",IF(SUM(M74,O74,Q74)&lt;SUM(N74,P74,R74),"CONFORME ✓",IF(SUM(M74,O74,Q74)=SUM(N74,P74,R74),"CONFORME ✓","NÃO CONFORME ✗")))</f>
        <v/>
      </c>
      <c r="T74" s="91">
        <f>IF(F74=$Z$2,"",VLOOKUP(F74,'DATASHEET EQUIPAMENTOS'!D:N,7,FALSE))</f>
        <v/>
      </c>
      <c r="U74" s="57" t="n">
        <v>15</v>
      </c>
      <c r="V74" s="56">
        <f>IF(F74=$Z$2,"",VLOOKUP(F74,'DATASHEET EQUIPAMENTOS'!D:N,8,FALSE))</f>
        <v/>
      </c>
      <c r="W74" s="57" t="n"/>
      <c r="X74" s="56">
        <f>IF(F74=$Z$2,"",VLOOKUP(F74,'DATASHEET EQUIPAMENTOS'!D:N,9,FALSE))</f>
        <v/>
      </c>
      <c r="Y74" s="57" t="n"/>
      <c r="Z74" s="57">
        <f>IF(SUM(T74,V74,X74)&lt;=SUM(U74,W74,Y74),"CONFORME ✓",IF(SUM(T74,V74,X74)&gt;SUM(U74,W74,Y74),"NÃO CONFORME ✗"))</f>
        <v/>
      </c>
      <c r="AA74" s="56">
        <f>IF(F74=$Z$2,"",VLOOKUP(F74,'DATASHEET EQUIPAMENTOS'!D:N,10,FALSE))</f>
        <v/>
      </c>
      <c r="AB74" s="57" t="n"/>
      <c r="AC74" s="56">
        <f>IF(F74=$Z$2,"",VLOOKUP(F74,'DATASHEET EQUIPAMENTOS'!D:N,11,FALSE))</f>
        <v/>
      </c>
      <c r="AD74" s="57" t="n"/>
      <c r="AE74" s="56">
        <f>IF(F74=$Z$2,"",VLOOKUP(F74,'DATASHEET EQUIPAMENTOS'!D:O,12,FALSE))</f>
        <v/>
      </c>
      <c r="AF74" s="57" t="n"/>
      <c r="AG74" s="57">
        <f>IF(SUM(AA74,AC74,AE74)&lt;=SUM(AB74,AD74,AF74),"CONFORME ✓",IF(SUM(AA74,AC74,AE74)&gt;SUM(AB74,AD74,AF74),"NÃO CONFORME ✗"))</f>
        <v/>
      </c>
      <c r="AH74" s="72" t="n"/>
      <c r="AI74" s="72" t="n"/>
      <c r="AJ74" s="72" t="n"/>
      <c r="AK74" s="7" t="inlineStr">
        <is>
          <t>SEM MANUAL DE INSTALAÇÃO DO SISTEMA PARA ESSE MODELO DE EQUIPAMENTO (775G)</t>
        </is>
      </c>
      <c r="AL74" s="58">
        <f>IFERROR(CALCULOS!H69,"NECESSÁRIO REVISAR DATASHEET")</f>
        <v/>
      </c>
      <c r="AM7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4" s="64">
        <f>SUM(Tabela2[[#This Row],[Nota de Prioridade Quantitativa(NOTAS: 1 PIOR NOTA; 5 MELHOR NOTA)]],Tabela2[[#This Row],[Nota de Prioridade Qualitativa(NOTAS: 1 PIOR NOTA;  5 MELHOR NOTA)]])</f>
        <v/>
      </c>
      <c r="AO74" s="7" t="n">
        <v>152076</v>
      </c>
      <c r="AP74" s="64">
        <f>SUM(Tabela2[[#This Row],[Nota de Prioridade Quantitativa(NOTAS: 1 PIOR NOTA; 5 MELHOR NOTA)]],Tabela2[[#This Row],[Nota de Prioridade Qualitativa(NOTAS: 1 PIOR NOTA;  5 MELHOR NOTA)]])</f>
        <v/>
      </c>
      <c r="AQ74" s="7" t="n"/>
      <c r="AR74" s="64">
        <f>SUM(Tabela2[[#This Row],[Nota de Prioridade Quantitativa(NOTAS: 1 PIOR NOTA; 5 MELHOR NOTA)]],Tabela2[[#This Row],[Nota de Prioridade Qualitativa(NOTAS: 1 PIOR NOTA;  5 MELHOR NOTA)]])</f>
        <v/>
      </c>
      <c r="AS74" s="7" t="n"/>
      <c r="AZ74" s="20">
        <f t="array" ref="AZ74">StatusCarga(G74,H74,J74,K74)</f>
        <v/>
      </c>
      <c r="BA74" s="20">
        <f>IF(AZ74="CONFORME","CONFORME ✓","NÃO CONFORME ✗")</f>
        <v/>
      </c>
      <c r="BB74" t="n">
        <v>0</v>
      </c>
      <c r="BC74" t="n">
        <v>60</v>
      </c>
      <c r="BD74" t="n">
        <v>0</v>
      </c>
      <c r="BE74" t="n">
        <v>0</v>
      </c>
      <c r="BF74" t="inlineStr">
        <is>
          <t>CONFORME</t>
        </is>
      </c>
    </row>
    <row r="75" hidden="1" ht="21.75" customHeight="1" thickBot="1">
      <c r="A75" s="77" t="inlineStr">
        <is>
          <t>Paraoupeba</t>
        </is>
      </c>
      <c r="B75" s="77" t="inlineStr">
        <is>
          <t>Mar azul</t>
        </is>
      </c>
      <c r="C75" s="80" t="inlineStr">
        <is>
          <t>CA5305</t>
        </is>
      </c>
      <c r="D75" s="80" t="inlineStr">
        <is>
          <t>AFEX</t>
        </is>
      </c>
      <c r="E75" s="78" t="inlineStr">
        <is>
          <t>CATERPILLAR</t>
        </is>
      </c>
      <c r="F75" s="80" t="inlineStr">
        <is>
          <t>CAT 777</t>
        </is>
      </c>
      <c r="G75" s="81">
        <f>IFERROR(IF(F75=$AB$2,"",VLOOKUP(F75,'DATASHEET EQUIPAMENTOS'!D:N,2,FALSE)),"")</f>
        <v/>
      </c>
      <c r="H75" s="82" t="inlineStr">
        <is>
          <t>1x30lbs</t>
        </is>
      </c>
      <c r="I75" s="57">
        <f>_xlfn.XLOOKUP(Tabela2[[#This Row],[Modelo]],'DATASHEET EQUIPAMENTOS'!D:D,'DATASHEET EQUIPAMENTOS'!P:P,"",0,1)</f>
        <v/>
      </c>
      <c r="J75" s="81">
        <f>IF(F75=$Z$2,"",VLOOKUP(F75,'DATASHEET EQUIPAMENTOS'!D:N,3,FALSE))</f>
        <v/>
      </c>
      <c r="K75" s="85" t="n">
        <v>0</v>
      </c>
      <c r="L75" s="95">
        <f>IF(AZ75="CONFORME","CONFORME ✓","NÃO CONFORME ✗")</f>
        <v/>
      </c>
      <c r="M75" s="102">
        <f>IF(F75=$Z$2,"",VLOOKUP(F75,'DATASHEET EQUIPAMENTOS'!D:N,4,FALSE))</f>
        <v/>
      </c>
      <c r="N75" s="103" t="n">
        <v>6</v>
      </c>
      <c r="O75" s="102">
        <f>IF(F75=$Z$2,"",VLOOKUP(F75,'DATASHEET EQUIPAMENTOS'!D:N,5,FALSE))</f>
        <v/>
      </c>
      <c r="P75" s="103" t="n">
        <v>2</v>
      </c>
      <c r="Q75" s="102">
        <f>IF(F75=$Z$2,"",VLOOKUP(F75,'DATASHEET EQUIPAMENTOS'!D:N,6,FALSE))</f>
        <v/>
      </c>
      <c r="R75" s="104" t="n">
        <v>2</v>
      </c>
      <c r="S75" s="95">
        <f>IF(Tabela2[[#This Row],[Instalado Sensor Motor]]="Linear","CONFORME ✓",IF(SUM(M75,O75,Q75)&lt;SUM(N75,P75,R75),"CONFORME ✓",IF(SUM(M75,O75,Q75)=SUM(N75,P75,R75),"CONFORME ✓","NÃO CONFORME ✗")))</f>
        <v/>
      </c>
      <c r="T75" s="91">
        <f>IF(F75=$Z$2,"",VLOOKUP(F75,'DATASHEET EQUIPAMENTOS'!D:N,7,FALSE))</f>
        <v/>
      </c>
      <c r="U75" s="57" t="n">
        <v>12</v>
      </c>
      <c r="V75" s="56">
        <f>IF(F75=$Z$2,"",VLOOKUP(F75,'DATASHEET EQUIPAMENTOS'!D:N,8,FALSE))</f>
        <v/>
      </c>
      <c r="W75" s="57" t="n">
        <v>6</v>
      </c>
      <c r="X75" s="56">
        <f>IF(F75=$Z$2,"",VLOOKUP(F75,'DATASHEET EQUIPAMENTOS'!D:N,9,FALSE))</f>
        <v/>
      </c>
      <c r="Y75" s="57" t="n">
        <v>6</v>
      </c>
      <c r="Z75" s="57">
        <f>IF(SUM(T75,V75,X75)&lt;=SUM(U75,W75,Y75),"CONFORME ✓",IF(SUM(T75,V75,X75)&gt;SUM(U75,W75,Y75),"NÃO CONFORME ✗"))</f>
        <v/>
      </c>
      <c r="AA75" s="56">
        <f>IF(F75=$Z$2,"",VLOOKUP(F75,'DATASHEET EQUIPAMENTOS'!D:N,10,FALSE))</f>
        <v/>
      </c>
      <c r="AB75" s="57" t="n">
        <v>12</v>
      </c>
      <c r="AC75" s="56">
        <f>IF(F75=$Z$2,"",VLOOKUP(F75,'DATASHEET EQUIPAMENTOS'!D:N,11,FALSE))</f>
        <v/>
      </c>
      <c r="AD75" s="57" t="n">
        <v>6</v>
      </c>
      <c r="AE75" s="56">
        <f>IF(F75=$Z$2,"",VLOOKUP(F75,'DATASHEET EQUIPAMENTOS'!D:O,12,FALSE))</f>
        <v/>
      </c>
      <c r="AF75" s="57" t="n">
        <v>6</v>
      </c>
      <c r="AG75" s="57">
        <f>IF(SUM(AA75,AC75,AE75)&lt;=SUM(AB75,AD75,AF75),"CONFORME ✓",IF(SUM(AA75,AC75,AE75)&gt;SUM(AB75,AD75,AF75),"NÃO CONFORME ✗"))</f>
        <v/>
      </c>
      <c r="AH75" s="72" t="n"/>
      <c r="AI75" s="72" t="n"/>
      <c r="AJ75" s="72" t="n"/>
      <c r="AK75" s="7" t="inlineStr">
        <is>
          <t>03 CILINDROS PQS 30 LBS/08SENSORES/01 ACIONADOR REMOTO/01 ACIONADOR MANUAL AUTOMÁTICO/</t>
        </is>
      </c>
      <c r="AL75" s="58">
        <f>IFERROR(CALCULOS!H70,"NECESSÁRIO REVISAR DATASHEET")</f>
        <v/>
      </c>
      <c r="AM7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5" s="64">
        <f>SUM(Tabela2[[#This Row],[Nota de Prioridade Quantitativa(NOTAS: 1 PIOR NOTA; 5 MELHOR NOTA)]],Tabela2[[#This Row],[Nota de Prioridade Qualitativa(NOTAS: 1 PIOR NOTA;  5 MELHOR NOTA)]])</f>
        <v/>
      </c>
      <c r="AO75" s="7" t="n">
        <v>152887</v>
      </c>
      <c r="AP75" s="64">
        <f>SUM(Tabela2[[#This Row],[Nota de Prioridade Quantitativa(NOTAS: 1 PIOR NOTA; 5 MELHOR NOTA)]],Tabela2[[#This Row],[Nota de Prioridade Qualitativa(NOTAS: 1 PIOR NOTA;  5 MELHOR NOTA)]])</f>
        <v/>
      </c>
      <c r="AQ75" s="7" t="n"/>
      <c r="AR75" s="64">
        <f>SUM(Tabela2[[#This Row],[Nota de Prioridade Quantitativa(NOTAS: 1 PIOR NOTA; 5 MELHOR NOTA)]],Tabela2[[#This Row],[Nota de Prioridade Qualitativa(NOTAS: 1 PIOR NOTA;  5 MELHOR NOTA)]])</f>
        <v/>
      </c>
      <c r="AS75" s="7" t="n"/>
      <c r="AZ75" s="20">
        <f t="array" ref="AZ75">StatusCarga(G75,H75,J75,K75)</f>
        <v/>
      </c>
      <c r="BA75" s="20">
        <f>IF(AZ75="CONFORME","CONFORME ✓","NÃO CONFORME ✗")</f>
        <v/>
      </c>
      <c r="BB75" t="n">
        <v>0</v>
      </c>
      <c r="BC75" t="n">
        <v>30</v>
      </c>
      <c r="BD75" t="n">
        <v>0</v>
      </c>
      <c r="BE75" t="n">
        <v>0</v>
      </c>
      <c r="BF75" t="inlineStr">
        <is>
          <t>CONFORME</t>
        </is>
      </c>
    </row>
    <row r="76" hidden="1" ht="21.75" customHeight="1" thickBot="1">
      <c r="A76" s="77" t="inlineStr">
        <is>
          <t>VGR</t>
        </is>
      </c>
      <c r="B76" s="77" t="inlineStr">
        <is>
          <t>Aboboras</t>
        </is>
      </c>
      <c r="C76" s="80" t="inlineStr">
        <is>
          <t>TE2412</t>
        </is>
      </c>
      <c r="D76" s="80" t="inlineStr">
        <is>
          <t>AFEX</t>
        </is>
      </c>
      <c r="E76" s="78" t="inlineStr">
        <is>
          <t>CATERPILLAR</t>
        </is>
      </c>
      <c r="F76" s="80" t="inlineStr">
        <is>
          <t>CAT D10</t>
        </is>
      </c>
      <c r="G76" s="81">
        <f>IFERROR(IF(F76=$AB$2,"",VLOOKUP(F76,'DATASHEET EQUIPAMENTOS'!D:N,2,FALSE)),"")</f>
        <v/>
      </c>
      <c r="H76" s="82" t="inlineStr">
        <is>
          <t>2x30lbs</t>
        </is>
      </c>
      <c r="I76" s="57">
        <f>_xlfn.XLOOKUP(Tabela2[[#This Row],[Modelo]],'DATASHEET EQUIPAMENTOS'!D:D,'DATASHEET EQUIPAMENTOS'!P:P,"",0,1)</f>
        <v/>
      </c>
      <c r="J76" s="81">
        <f>IF(F76=$Z$2,"",VLOOKUP(F76,'DATASHEET EQUIPAMENTOS'!D:N,3,FALSE))</f>
        <v/>
      </c>
      <c r="K76" s="85" t="n">
        <v>0</v>
      </c>
      <c r="L76" s="95">
        <f>IF(AZ76="CONFORME","CONFORME ✓","NÃO CONFORME ✗")</f>
        <v/>
      </c>
      <c r="M76" s="102">
        <f>IF(F76=$Z$2,"",VLOOKUP(F76,'DATASHEET EQUIPAMENTOS'!D:N,4,FALSE))</f>
        <v/>
      </c>
      <c r="N76" s="103" t="n">
        <v>4</v>
      </c>
      <c r="O76" s="102">
        <f>IF(F76=$Z$2,"",VLOOKUP(F76,'DATASHEET EQUIPAMENTOS'!D:N,5,FALSE))</f>
        <v/>
      </c>
      <c r="P76" s="103" t="n">
        <v>2</v>
      </c>
      <c r="Q76" s="102">
        <f>IF(F76=$Z$2,"",VLOOKUP(F76,'DATASHEET EQUIPAMENTOS'!D:N,6,FALSE))</f>
        <v/>
      </c>
      <c r="R76" s="104" t="n">
        <v>2</v>
      </c>
      <c r="S76" s="95">
        <f>IF(Tabela2[[#This Row],[Instalado Sensor Motor]]="Linear","CONFORME ✓",IF(SUM(M76,O76,Q76)&lt;SUM(N76,P76,R76),"CONFORME ✓",IF(SUM(M76,O76,Q76)=SUM(N76,P76,R76),"CONFORME ✓","NÃO CONFORME ✗")))</f>
        <v/>
      </c>
      <c r="T76" s="91">
        <f>IF(F76=$Z$2,"",VLOOKUP(F76,'DATASHEET EQUIPAMENTOS'!D:N,7,FALSE))</f>
        <v/>
      </c>
      <c r="U76" s="57" t="n">
        <v>6</v>
      </c>
      <c r="V76" s="56">
        <f>IF(F76=$Z$2,"",VLOOKUP(F76,'DATASHEET EQUIPAMENTOS'!D:N,8,FALSE))</f>
        <v/>
      </c>
      <c r="W76" s="57" t="n">
        <v>6</v>
      </c>
      <c r="X76" s="56">
        <f>IF(F76=$Z$2,"",VLOOKUP(F76,'DATASHEET EQUIPAMENTOS'!D:N,9,FALSE))</f>
        <v/>
      </c>
      <c r="Y76" s="57" t="n">
        <v>2</v>
      </c>
      <c r="Z76" s="57">
        <f>IF(SUM(T76,V76,X76)&lt;=SUM(U76,W76,Y76),"CONFORME ✓",IF(SUM(T76,V76,X76)&gt;SUM(U76,W76,Y76),"NÃO CONFORME ✗"))</f>
        <v/>
      </c>
      <c r="AA76" s="56">
        <f>IF(F76=$Z$2,"",VLOOKUP(F76,'DATASHEET EQUIPAMENTOS'!D:N,10,FALSE))</f>
        <v/>
      </c>
      <c r="AB76" s="57" t="n"/>
      <c r="AC76" s="56">
        <f>IF(F76=$Z$2,"",VLOOKUP(F76,'DATASHEET EQUIPAMENTOS'!D:N,11,FALSE))</f>
        <v/>
      </c>
      <c r="AD76" s="57" t="n"/>
      <c r="AE76" s="56">
        <f>IF(F76=$Z$2,"",VLOOKUP(F76,'DATASHEET EQUIPAMENTOS'!D:O,12,FALSE))</f>
        <v/>
      </c>
      <c r="AF76" s="57" t="n"/>
      <c r="AG76" s="57">
        <f>IF(SUM(AA76,AC76,AE76)&lt;=SUM(AB76,AD76,AF76),"CONFORME ✓",IF(SUM(AA76,AC76,AE76)&gt;SUM(AB76,AD76,AF76),"NÃO CONFORME ✗"))</f>
        <v/>
      </c>
      <c r="AH76" s="72" t="n">
        <v>3</v>
      </c>
      <c r="AI76" s="72" t="n">
        <v>3.5</v>
      </c>
      <c r="AJ76" s="72" t="n">
        <v>5</v>
      </c>
      <c r="AK76" s="7" t="inlineStr">
        <is>
          <t>ADEQUAÇÃO DE CABOS DE SENSORES E MANGUEIRAS</t>
        </is>
      </c>
      <c r="AL76" s="58">
        <f>IFERROR(CALCULOS!H71,"NECESSÁRIO REVISAR DATASHEET")</f>
        <v/>
      </c>
      <c r="AM7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6" s="64">
        <f>SUM(Tabela2[[#This Row],[Nota de Prioridade Quantitativa(NOTAS: 1 PIOR NOTA; 5 MELHOR NOTA)]],Tabela2[[#This Row],[Nota de Prioridade Qualitativa(NOTAS: 1 PIOR NOTA;  5 MELHOR NOTA)]])</f>
        <v/>
      </c>
      <c r="AO76" s="7" t="n">
        <v>151514</v>
      </c>
      <c r="AP76" s="64">
        <f>SUM(Tabela2[[#This Row],[Nota de Prioridade Quantitativa(NOTAS: 1 PIOR NOTA; 5 MELHOR NOTA)]],Tabela2[[#This Row],[Nota de Prioridade Qualitativa(NOTAS: 1 PIOR NOTA;  5 MELHOR NOTA)]])</f>
        <v/>
      </c>
      <c r="AQ76" s="7" t="n"/>
      <c r="AR76" s="64">
        <f>SUM(Tabela2[[#This Row],[Nota de Prioridade Quantitativa(NOTAS: 1 PIOR NOTA; 5 MELHOR NOTA)]],Tabela2[[#This Row],[Nota de Prioridade Qualitativa(NOTAS: 1 PIOR NOTA;  5 MELHOR NOTA)]])</f>
        <v/>
      </c>
      <c r="AS76" s="7" t="n"/>
      <c r="AZ76" s="20">
        <f t="array" ref="AZ76">StatusCarga(G76,H76,J76,K76)</f>
        <v/>
      </c>
      <c r="BA76" s="20">
        <f>IF(AZ76="CONFORME","CONFORME ✓","NÃO CONFORME ✗")</f>
        <v/>
      </c>
      <c r="BB76" t="n">
        <v>0</v>
      </c>
      <c r="BC76" t="n">
        <v>60</v>
      </c>
      <c r="BD76" t="n">
        <v>0</v>
      </c>
      <c r="BE76" t="n">
        <v>0</v>
      </c>
      <c r="BF76" t="inlineStr">
        <is>
          <t>CONFORME</t>
        </is>
      </c>
    </row>
    <row r="77" hidden="1" ht="21.75" customHeight="1" thickBot="1">
      <c r="A77" s="77" t="inlineStr">
        <is>
          <t>Mariana</t>
        </is>
      </c>
      <c r="B77" s="77" t="inlineStr">
        <is>
          <t>Fabrica Nova</t>
        </is>
      </c>
      <c r="C77" s="80" t="inlineStr">
        <is>
          <t>CA66541</t>
        </is>
      </c>
      <c r="D77" s="80" t="inlineStr">
        <is>
          <t>AFEX</t>
        </is>
      </c>
      <c r="E77" s="78" t="inlineStr">
        <is>
          <t>CATERPILLAR</t>
        </is>
      </c>
      <c r="F77" s="80" t="inlineStr">
        <is>
          <t>cat 789D</t>
        </is>
      </c>
      <c r="G77" s="81">
        <f>IFERROR(IF(F77=$AB$2,"",VLOOKUP(F77,'DATASHEET EQUIPAMENTOS'!D:N,2,FALSE)),"")</f>
        <v/>
      </c>
      <c r="H77" s="82" t="inlineStr">
        <is>
          <t>2x60lbs</t>
        </is>
      </c>
      <c r="I77" s="57">
        <f>_xlfn.XLOOKUP(Tabela2[[#This Row],[Modelo]],'DATASHEET EQUIPAMENTOS'!D:D,'DATASHEET EQUIPAMENTOS'!P:P,"",0,1)</f>
        <v/>
      </c>
      <c r="J77" s="81">
        <f>IF(F77=$Z$2,"",VLOOKUP(F77,'DATASHEET EQUIPAMENTOS'!D:N,3,FALSE))</f>
        <v/>
      </c>
      <c r="K77" s="85" t="n">
        <v>0</v>
      </c>
      <c r="L77" s="95">
        <f>IF(AZ77="CONFORME","CONFORME ✓","NÃO CONFORME ✗")</f>
        <v/>
      </c>
      <c r="M77" s="102">
        <f>IF(F77=$Z$2,"",VLOOKUP(F77,'DATASHEET EQUIPAMENTOS'!D:N,4,FALSE))</f>
        <v/>
      </c>
      <c r="N77" s="103" t="inlineStr">
        <is>
          <t>Linear</t>
        </is>
      </c>
      <c r="O77" s="102">
        <f>IF(F77=$Z$2,"",VLOOKUP(F77,'DATASHEET EQUIPAMENTOS'!D:N,5,FALSE))</f>
        <v/>
      </c>
      <c r="P77" s="103" t="n"/>
      <c r="Q77" s="102">
        <f>IF(F77=$Z$2,"",VLOOKUP(F77,'DATASHEET EQUIPAMENTOS'!D:N,6,FALSE))</f>
        <v/>
      </c>
      <c r="R77" s="104" t="n"/>
      <c r="S77" s="95">
        <f>IF(Tabela2[[#This Row],[Instalado Sensor Motor]]="Linear","CONFORME ✓",IF(SUM(M77,O77,Q77)&lt;SUM(N77,P77,R77),"CONFORME ✓",IF(SUM(M77,O77,Q77)=SUM(N77,P77,R77),"CONFORME ✓","NÃO CONFORME ✗")))</f>
        <v/>
      </c>
      <c r="T77" s="91">
        <f>IF(F77=$Z$2,"",VLOOKUP(F77,'DATASHEET EQUIPAMENTOS'!D:N,7,FALSE))</f>
        <v/>
      </c>
      <c r="U77" s="62" t="n">
        <v>18</v>
      </c>
      <c r="V77" s="56">
        <f>IF(F77=$Z$2,"",VLOOKUP(F77,'DATASHEET EQUIPAMENTOS'!D:N,8,FALSE))</f>
        <v/>
      </c>
      <c r="W77" s="62" t="n">
        <v>3</v>
      </c>
      <c r="X77" s="56">
        <f>IF(F77=$Z$2,"",VLOOKUP(F77,'DATASHEET EQUIPAMENTOS'!D:N,9,FALSE))</f>
        <v/>
      </c>
      <c r="Y77" s="62" t="n">
        <v>3</v>
      </c>
      <c r="Z77" s="57">
        <f>IF(SUM(T77,V77,X77)&lt;=SUM(U77,W77,Y77),"CONFORME ✓",IF(SUM(T77,V77,X77)&gt;SUM(U77,W77,Y77),"NÃO CONFORME ✗"))</f>
        <v/>
      </c>
      <c r="AA77" s="56">
        <f>IF(F77=$Z$2,"",VLOOKUP(F77,'DATASHEET EQUIPAMENTOS'!D:N,10,FALSE))</f>
        <v/>
      </c>
      <c r="AB77" s="57" t="n"/>
      <c r="AC77" s="56">
        <f>IF(F77=$Z$2,"",VLOOKUP(F77,'DATASHEET EQUIPAMENTOS'!D:N,11,FALSE))</f>
        <v/>
      </c>
      <c r="AD77" s="57" t="n"/>
      <c r="AE77" s="56">
        <f>IF(F77=$Z$2,"",VLOOKUP(F77,'DATASHEET EQUIPAMENTOS'!D:O,12,FALSE))</f>
        <v/>
      </c>
      <c r="AF77" s="57" t="n"/>
      <c r="AG77" s="57">
        <f>IF(SUM(AA77,AC77,AE77)&lt;=SUM(AB77,AD77,AF77),"CONFORME ✓",IF(SUM(AA77,AC77,AE77)&gt;SUM(AB77,AD77,AF77),"NÃO CONFORME ✗"))</f>
        <v/>
      </c>
      <c r="AH77" s="72" t="n">
        <v>2.5</v>
      </c>
      <c r="AI77" s="72" t="n">
        <v>3</v>
      </c>
      <c r="AJ77" s="72" t="n">
        <v>5</v>
      </c>
      <c r="AK77" s="7" t="inlineStr">
        <is>
          <t>REFAZER FIXAÇÃO DO CABO LINEAR E FIXAÇÃO DE MANGUEIRAS</t>
        </is>
      </c>
      <c r="AL77" s="58">
        <f>IFERROR(CALCULOS!H72,"NECESSÁRIO REVISAR DATASHEET")</f>
        <v/>
      </c>
      <c r="AM7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7" s="64">
        <f>SUM(Tabela2[[#This Row],[Nota de Prioridade Quantitativa(NOTAS: 1 PIOR NOTA; 5 MELHOR NOTA)]],Tabela2[[#This Row],[Nota de Prioridade Qualitativa(NOTAS: 1 PIOR NOTA;  5 MELHOR NOTA)]])</f>
        <v/>
      </c>
      <c r="AO77" s="7" t="n">
        <v>151189</v>
      </c>
      <c r="AP77" s="64">
        <f>SUM(Tabela2[[#This Row],[Nota de Prioridade Quantitativa(NOTAS: 1 PIOR NOTA; 5 MELHOR NOTA)]],Tabela2[[#This Row],[Nota de Prioridade Qualitativa(NOTAS: 1 PIOR NOTA;  5 MELHOR NOTA)]])</f>
        <v/>
      </c>
      <c r="AQ77" s="7" t="n"/>
      <c r="AR77" s="64">
        <f>SUM(Tabela2[[#This Row],[Nota de Prioridade Quantitativa(NOTAS: 1 PIOR NOTA; 5 MELHOR NOTA)]],Tabela2[[#This Row],[Nota de Prioridade Qualitativa(NOTAS: 1 PIOR NOTA;  5 MELHOR NOTA)]])</f>
        <v/>
      </c>
      <c r="AS77" s="7" t="n"/>
      <c r="AZ77" s="20">
        <f t="array" ref="AZ77">StatusCarga(G77,H77,J77,K77)</f>
        <v/>
      </c>
      <c r="BA77" s="20">
        <f>IF(AZ77="CONFORME","CONFORME ✓","NÃO CONFORME ✗")</f>
        <v/>
      </c>
      <c r="BB77" t="n">
        <v>0</v>
      </c>
      <c r="BC77" t="n">
        <v>120</v>
      </c>
      <c r="BD77" t="n">
        <v>0</v>
      </c>
      <c r="BE77" t="n">
        <v>0</v>
      </c>
      <c r="BF77" t="inlineStr">
        <is>
          <t>CONFORME</t>
        </is>
      </c>
    </row>
    <row r="78" hidden="1" ht="21.75" customHeight="1" thickBot="1">
      <c r="A78" s="77" t="inlineStr">
        <is>
          <t>VGR</t>
        </is>
      </c>
      <c r="B78" s="77" t="inlineStr">
        <is>
          <t>Aboboras</t>
        </is>
      </c>
      <c r="C78" s="80" t="inlineStr">
        <is>
          <t>TE2419</t>
        </is>
      </c>
      <c r="D78" s="80" t="inlineStr">
        <is>
          <t>AFEX</t>
        </is>
      </c>
      <c r="E78" s="78" t="inlineStr">
        <is>
          <t>CATERPILLAR</t>
        </is>
      </c>
      <c r="F78" s="80" t="inlineStr">
        <is>
          <t>CAT D10T</t>
        </is>
      </c>
      <c r="G78" s="81">
        <f>IFERROR(IF(F78=$AB$2,"",VLOOKUP(F78,'DATASHEET EQUIPAMENTOS'!D:N,2,FALSE)),"")</f>
        <v/>
      </c>
      <c r="H78" s="82" t="inlineStr">
        <is>
          <t>2x30lbs</t>
        </is>
      </c>
      <c r="I78" s="57">
        <f>_xlfn.XLOOKUP(Tabela2[[#This Row],[Modelo]],'DATASHEET EQUIPAMENTOS'!D:D,'DATASHEET EQUIPAMENTOS'!P:P,"",0,1)</f>
        <v/>
      </c>
      <c r="J78" s="81">
        <f>IF(F78=$Z$2,"",VLOOKUP(F78,'DATASHEET EQUIPAMENTOS'!D:N,3,FALSE))</f>
        <v/>
      </c>
      <c r="K78" s="85" t="n">
        <v>0</v>
      </c>
      <c r="L78" s="95">
        <f>IF(AZ78="CONFORME","CONFORME ✓","NÃO CONFORME ✗")</f>
        <v/>
      </c>
      <c r="M78" s="102">
        <f>IF(F78=$Z$2,"",VLOOKUP(F78,'DATASHEET EQUIPAMENTOS'!D:N,4,FALSE))</f>
        <v/>
      </c>
      <c r="N78" s="103" t="n">
        <v>4</v>
      </c>
      <c r="O78" s="102">
        <f>IF(F78=$Z$2,"",VLOOKUP(F78,'DATASHEET EQUIPAMENTOS'!D:N,5,FALSE))</f>
        <v/>
      </c>
      <c r="P78" s="103" t="n">
        <v>2</v>
      </c>
      <c r="Q78" s="102">
        <f>IF(F78=$Z$2,"",VLOOKUP(F78,'DATASHEET EQUIPAMENTOS'!D:N,6,FALSE))</f>
        <v/>
      </c>
      <c r="R78" s="104" t="n">
        <v>1</v>
      </c>
      <c r="S78" s="95">
        <f>IF(Tabela2[[#This Row],[Instalado Sensor Motor]]="Linear","CONFORME ✓",IF(SUM(M78,O78,Q78)&lt;SUM(N78,P78,R78),"CONFORME ✓",IF(SUM(M78,O78,Q78)=SUM(N78,P78,R78),"CONFORME ✓","NÃO CONFORME ✗")))</f>
        <v/>
      </c>
      <c r="T78" s="91">
        <f>IF(F78=$Z$2,"",VLOOKUP(F78,'DATASHEET EQUIPAMENTOS'!D:N,7,FALSE))</f>
        <v/>
      </c>
      <c r="U78" s="57" t="n">
        <v>6</v>
      </c>
      <c r="V78" s="56">
        <f>IF(F78=$Z$2,"",VLOOKUP(F78,'DATASHEET EQUIPAMENTOS'!D:N,8,FALSE))</f>
        <v/>
      </c>
      <c r="W78" s="57" t="n">
        <v>6</v>
      </c>
      <c r="X78" s="56">
        <f>IF(F78=$Z$2,"",VLOOKUP(F78,'DATASHEET EQUIPAMENTOS'!D:N,9,FALSE))</f>
        <v/>
      </c>
      <c r="Y78" s="62" t="n">
        <v>0</v>
      </c>
      <c r="Z78" s="57">
        <f>IF(SUM(T78,V78,X78)&lt;=SUM(U78,W78,Y78),"CONFORME ✓",IF(SUM(T78,V78,X78)&gt;SUM(U78,W78,Y78),"NÃO CONFORME ✗"))</f>
        <v/>
      </c>
      <c r="AA78" s="56">
        <f>IF(F78=$Z$2,"",VLOOKUP(F78,'DATASHEET EQUIPAMENTOS'!D:N,10,FALSE))</f>
        <v/>
      </c>
      <c r="AB78" s="57" t="n"/>
      <c r="AC78" s="56">
        <f>IF(F78=$Z$2,"",VLOOKUP(F78,'DATASHEET EQUIPAMENTOS'!D:N,11,FALSE))</f>
        <v/>
      </c>
      <c r="AD78" s="57" t="n"/>
      <c r="AE78" s="56">
        <f>IF(F78=$Z$2,"",VLOOKUP(F78,'DATASHEET EQUIPAMENTOS'!D:O,12,FALSE))</f>
        <v/>
      </c>
      <c r="AF78" s="57" t="n"/>
      <c r="AG78" s="57">
        <f>IF(SUM(AA78,AC78,AE78)&lt;=SUM(AB78,AD78,AF78),"CONFORME ✓",IF(SUM(AA78,AC78,AE78)&gt;SUM(AB78,AD78,AF78),"NÃO CONFORME ✗"))</f>
        <v/>
      </c>
      <c r="AH78" s="72" t="n">
        <v>2.5</v>
      </c>
      <c r="AI78" s="72" t="n">
        <v>2.5</v>
      </c>
      <c r="AJ78" s="72" t="n">
        <v>5</v>
      </c>
      <c r="AK78" s="7" t="inlineStr">
        <is>
          <t>ADEQUAÇÃO DE CABOS DE SENSORES, BICOS DE AGENTE PQS E MANGUEIRAS</t>
        </is>
      </c>
      <c r="AL78" s="58">
        <f>IFERROR(CALCULOS!H73,"NECESSÁRIO REVISAR DATASHEET")</f>
        <v/>
      </c>
      <c r="AM7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8" s="64">
        <f>SUM(Tabela2[[#This Row],[Nota de Prioridade Quantitativa(NOTAS: 1 PIOR NOTA; 5 MELHOR NOTA)]],Tabela2[[#This Row],[Nota de Prioridade Qualitativa(NOTAS: 1 PIOR NOTA;  5 MELHOR NOTA)]])</f>
        <v/>
      </c>
      <c r="AO78" s="7" t="n">
        <v>151459</v>
      </c>
      <c r="AP78" s="64">
        <f>SUM(Tabela2[[#This Row],[Nota de Prioridade Quantitativa(NOTAS: 1 PIOR NOTA; 5 MELHOR NOTA)]],Tabela2[[#This Row],[Nota de Prioridade Qualitativa(NOTAS: 1 PIOR NOTA;  5 MELHOR NOTA)]])</f>
        <v/>
      </c>
      <c r="AQ78" s="7" t="n"/>
      <c r="AR78" s="64">
        <f>SUM(Tabela2[[#This Row],[Nota de Prioridade Quantitativa(NOTAS: 1 PIOR NOTA; 5 MELHOR NOTA)]],Tabela2[[#This Row],[Nota de Prioridade Qualitativa(NOTAS: 1 PIOR NOTA;  5 MELHOR NOTA)]])</f>
        <v/>
      </c>
      <c r="AS78" s="7" t="n"/>
      <c r="AZ78" s="20">
        <f t="array" ref="AZ78">StatusCarga(G78,H78,J78,K78)</f>
        <v/>
      </c>
      <c r="BA78" s="20">
        <f>IF(AZ78="CONFORME","CONFORME ✓","NÃO CONFORME ✗")</f>
        <v/>
      </c>
      <c r="BB78" t="n">
        <v>0</v>
      </c>
      <c r="BC78" t="n">
        <v>60</v>
      </c>
      <c r="BD78" t="n">
        <v>0</v>
      </c>
      <c r="BE78" t="n">
        <v>0</v>
      </c>
      <c r="BF78" t="inlineStr">
        <is>
          <t>CONFORME</t>
        </is>
      </c>
    </row>
    <row r="79" hidden="1" ht="21.75" customHeight="1" thickBot="1">
      <c r="A79" s="77" t="inlineStr">
        <is>
          <t>VGR</t>
        </is>
      </c>
      <c r="B79" s="77" t="inlineStr">
        <is>
          <t>Aboboras</t>
        </is>
      </c>
      <c r="C79" s="80" t="inlineStr">
        <is>
          <t>PM4345</t>
        </is>
      </c>
      <c r="D79" s="80" t="inlineStr">
        <is>
          <t>AFEX</t>
        </is>
      </c>
      <c r="E79" s="78" t="inlineStr">
        <is>
          <t>CATERPILLAR</t>
        </is>
      </c>
      <c r="F79" s="80" t="inlineStr">
        <is>
          <t>cat 980L</t>
        </is>
      </c>
      <c r="G79" s="81">
        <f>IFERROR(IF(F79=$AB$2,"",VLOOKUP(F79,'DATASHEET EQUIPAMENTOS'!D:N,2,FALSE)),"")</f>
        <v/>
      </c>
      <c r="H79" s="82" t="inlineStr">
        <is>
          <t>1x60lbs</t>
        </is>
      </c>
      <c r="I79" s="57">
        <f>_xlfn.XLOOKUP(Tabela2[[#This Row],[Modelo]],'DATASHEET EQUIPAMENTOS'!D:D,'DATASHEET EQUIPAMENTOS'!P:P,"",0,1)</f>
        <v/>
      </c>
      <c r="J79" s="81">
        <f>IF(F79=$Z$2,"",VLOOKUP(F79,'DATASHEET EQUIPAMENTOS'!D:N,3,FALSE))</f>
        <v/>
      </c>
      <c r="K79" s="85" t="n">
        <v>0</v>
      </c>
      <c r="L79" s="95">
        <f>IF(AZ79="CONFORME","CONFORME ✓","NÃO CONFORME ✗")</f>
        <v/>
      </c>
      <c r="M79" s="102">
        <f>IF(F79=$Z$2,"",VLOOKUP(F79,'DATASHEET EQUIPAMENTOS'!D:N,4,FALSE))</f>
        <v/>
      </c>
      <c r="N79" s="103" t="n">
        <v>4</v>
      </c>
      <c r="O79" s="102">
        <f>IF(F79=$Z$2,"",VLOOKUP(F79,'DATASHEET EQUIPAMENTOS'!D:N,5,FALSE))</f>
        <v/>
      </c>
      <c r="P79" s="103" t="n"/>
      <c r="Q79" s="102">
        <f>IF(F79=$Z$2,"",VLOOKUP(F79,'DATASHEET EQUIPAMENTOS'!D:N,6,FALSE))</f>
        <v/>
      </c>
      <c r="R79" s="104" t="n">
        <v>1</v>
      </c>
      <c r="S79" s="95">
        <f>IF(Tabela2[[#This Row],[Instalado Sensor Motor]]="Linear","CONFORME ✓",IF(SUM(M79,O79,Q79)&lt;SUM(N79,P79,R79),"CONFORME ✓",IF(SUM(M79,O79,Q79)=SUM(N79,P79,R79),"CONFORME ✓","NÃO CONFORME ✗")))</f>
        <v/>
      </c>
      <c r="T79" s="91">
        <f>IF(F79=$Z$2,"",VLOOKUP(F79,'DATASHEET EQUIPAMENTOS'!D:N,7,FALSE))</f>
        <v/>
      </c>
      <c r="U79" s="57" t="n">
        <v>10</v>
      </c>
      <c r="V79" s="56">
        <f>IF(F79=$Z$2,"",VLOOKUP(F79,'DATASHEET EQUIPAMENTOS'!D:N,8,FALSE))</f>
        <v/>
      </c>
      <c r="W79" s="57" t="n">
        <v>2</v>
      </c>
      <c r="X79" s="56">
        <f>IF(F79=$Z$2,"",VLOOKUP(F79,'DATASHEET EQUIPAMENTOS'!D:N,9,FALSE))</f>
        <v/>
      </c>
      <c r="Y79" s="57" t="n">
        <v>0</v>
      </c>
      <c r="Z79" s="57">
        <f>IF(SUM(T79,V79,X79)&lt;=SUM(U79,W79,Y79),"CONFORME ✓",IF(SUM(T79,V79,X79)&gt;SUM(U79,W79,Y79),"NÃO CONFORME ✗"))</f>
        <v/>
      </c>
      <c r="AA79" s="56">
        <f>IF(F79=$Z$2,"",VLOOKUP(F79,'DATASHEET EQUIPAMENTOS'!D:N,10,FALSE))</f>
        <v/>
      </c>
      <c r="AB79" s="57" t="n"/>
      <c r="AC79" s="56">
        <f>IF(F79=$Z$2,"",VLOOKUP(F79,'DATASHEET EQUIPAMENTOS'!D:N,11,FALSE))</f>
        <v/>
      </c>
      <c r="AD79" s="57" t="n"/>
      <c r="AE79" s="56">
        <f>IF(F79=$Z$2,"",VLOOKUP(F79,'DATASHEET EQUIPAMENTOS'!D:O,12,FALSE))</f>
        <v/>
      </c>
      <c r="AF79" s="57" t="n"/>
      <c r="AG79" s="57">
        <f>IF(SUM(AA79,AC79,AE79)&lt;=SUM(AB79,AD79,AF79),"CONFORME ✓",IF(SUM(AA79,AC79,AE79)&gt;SUM(AB79,AD79,AF79),"NÃO CONFORME ✗"))</f>
        <v/>
      </c>
      <c r="AH79" s="72" t="n">
        <v>3.5</v>
      </c>
      <c r="AI79" s="72" t="n">
        <v>2.5</v>
      </c>
      <c r="AJ79" s="72" t="n">
        <v>5</v>
      </c>
      <c r="AK79" s="7" t="inlineStr">
        <is>
          <t>ADEQUAÇÃO DE CABOS DE SENSORES, BICOS DE AGENTE PQS E MANGUEIRAS</t>
        </is>
      </c>
      <c r="AL79" s="58">
        <f>IFERROR(CALCULOS!H74,"NECESSÁRIO REVISAR DATASHEET")</f>
        <v/>
      </c>
      <c r="AM7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79" s="64">
        <f>SUM(Tabela2[[#This Row],[Nota de Prioridade Quantitativa(NOTAS: 1 PIOR NOTA; 5 MELHOR NOTA)]],Tabela2[[#This Row],[Nota de Prioridade Qualitativa(NOTAS: 1 PIOR NOTA;  5 MELHOR NOTA)]])</f>
        <v/>
      </c>
      <c r="AO79" s="7" t="n">
        <v>151453</v>
      </c>
      <c r="AP79" s="64">
        <f>SUM(Tabela2[[#This Row],[Nota de Prioridade Quantitativa(NOTAS: 1 PIOR NOTA; 5 MELHOR NOTA)]],Tabela2[[#This Row],[Nota de Prioridade Qualitativa(NOTAS: 1 PIOR NOTA;  5 MELHOR NOTA)]])</f>
        <v/>
      </c>
      <c r="AQ79" s="7" t="n"/>
      <c r="AR79" s="64">
        <f>SUM(Tabela2[[#This Row],[Nota de Prioridade Quantitativa(NOTAS: 1 PIOR NOTA; 5 MELHOR NOTA)]],Tabela2[[#This Row],[Nota de Prioridade Qualitativa(NOTAS: 1 PIOR NOTA;  5 MELHOR NOTA)]])</f>
        <v/>
      </c>
      <c r="AS79" s="7" t="n"/>
      <c r="AZ79" s="20">
        <f t="array" ref="AZ79">StatusCarga(G79,H79,J79,K79)</f>
        <v/>
      </c>
      <c r="BA79" s="20">
        <f>IF(AZ79="CONFORME","CONFORME ✓","NÃO CONFORME ✗")</f>
        <v/>
      </c>
      <c r="BB79" t="n">
        <v>0</v>
      </c>
      <c r="BC79" t="n">
        <v>60</v>
      </c>
      <c r="BD79" t="n">
        <v>0</v>
      </c>
      <c r="BE79" t="n">
        <v>0</v>
      </c>
      <c r="BF79" t="inlineStr">
        <is>
          <t>CONFORME</t>
        </is>
      </c>
    </row>
    <row r="80" hidden="1" ht="21.75" customHeight="1" thickBot="1">
      <c r="A80" s="77" t="inlineStr">
        <is>
          <t>Mariana</t>
        </is>
      </c>
      <c r="B80" s="77" t="inlineStr">
        <is>
          <t>Fazendão</t>
        </is>
      </c>
      <c r="C80" s="80" t="inlineStr">
        <is>
          <t>PM6312</t>
        </is>
      </c>
      <c r="D80" s="80" t="inlineStr">
        <is>
          <t>AFEX</t>
        </is>
      </c>
      <c r="E80" s="78" t="inlineStr">
        <is>
          <t>CATERPILLAR</t>
        </is>
      </c>
      <c r="F80" s="80" t="inlineStr">
        <is>
          <t>CAT 994K</t>
        </is>
      </c>
      <c r="G80" s="81">
        <f>IFERROR(IF(F80=$AB$2,"",VLOOKUP(F80,'DATASHEET EQUIPAMENTOS'!D:N,2,FALSE)),"")</f>
        <v/>
      </c>
      <c r="H80" s="82" t="inlineStr">
        <is>
          <t>3x60lbs</t>
        </is>
      </c>
      <c r="I80" s="57">
        <f>_xlfn.XLOOKUP(Tabela2[[#This Row],[Modelo]],'DATASHEET EQUIPAMENTOS'!D:D,'DATASHEET EQUIPAMENTOS'!P:P,"",0,1)</f>
        <v/>
      </c>
      <c r="J80" s="81">
        <f>IF(F80=$Z$2,"",VLOOKUP(F80,'DATASHEET EQUIPAMENTOS'!D:N,3,FALSE))</f>
        <v/>
      </c>
      <c r="K80" s="85" t="inlineStr">
        <is>
          <t>1x15gal</t>
        </is>
      </c>
      <c r="L80" s="95">
        <f>IF(AZ80="CONFORME","CONFORME ✓","NÃO CONFORME ✗")</f>
        <v/>
      </c>
      <c r="M80" s="102">
        <f>IF(F80=$Z$2,"",VLOOKUP(F80,'DATASHEET EQUIPAMENTOS'!D:N,4,FALSE))</f>
        <v/>
      </c>
      <c r="N80" s="103" t="n">
        <v>5</v>
      </c>
      <c r="O80" s="102">
        <f>IF(F80=$Z$2,"",VLOOKUP(F80,'DATASHEET EQUIPAMENTOS'!D:N,5,FALSE))</f>
        <v/>
      </c>
      <c r="P80" s="103" t="n">
        <v>4</v>
      </c>
      <c r="Q80" s="102">
        <f>IF(F80=$Z$2,"",VLOOKUP(F80,'DATASHEET EQUIPAMENTOS'!D:N,6,FALSE))</f>
        <v/>
      </c>
      <c r="R80" s="104" t="n">
        <v>3</v>
      </c>
      <c r="S80" s="95">
        <f>IF(Tabela2[[#This Row],[Instalado Sensor Motor]]="Linear","CONFORME ✓",IF(SUM(M80,O80,Q80)&lt;SUM(N80,P80,R80),"CONFORME ✓",IF(SUM(M80,O80,Q80)=SUM(N80,P80,R80),"CONFORME ✓","NÃO CONFORME ✗")))</f>
        <v/>
      </c>
      <c r="T80" s="91">
        <f>IF(F80=$Z$2,"",VLOOKUP(F80,'DATASHEET EQUIPAMENTOS'!D:N,7,FALSE))</f>
        <v/>
      </c>
      <c r="U80" s="57" t="n">
        <v>12</v>
      </c>
      <c r="V80" s="56">
        <f>IF(F80=$Z$2,"",VLOOKUP(F80,'DATASHEET EQUIPAMENTOS'!D:N,8,FALSE))</f>
        <v/>
      </c>
      <c r="W80" s="57" t="n">
        <v>12</v>
      </c>
      <c r="X80" s="56">
        <f>IF(F80=$Z$2,"",VLOOKUP(F80,'DATASHEET EQUIPAMENTOS'!D:N,9,FALSE))</f>
        <v/>
      </c>
      <c r="Y80" s="57" t="n">
        <v>9</v>
      </c>
      <c r="Z80" s="57">
        <f>IF(SUM(T80,V80,X80)&lt;=SUM(U80,W80,Y80),"CONFORME ✓",IF(SUM(T80,V80,X80)&gt;SUM(U80,W80,Y80),"NÃO CONFORME ✗"))</f>
        <v/>
      </c>
      <c r="AA80" s="56">
        <f>IF(F80=$Z$2,"",VLOOKUP(F80,'DATASHEET EQUIPAMENTOS'!D:N,10,FALSE))</f>
        <v/>
      </c>
      <c r="AB80" s="57" t="n">
        <v>6</v>
      </c>
      <c r="AC80" s="56">
        <f>IF(F80=$Z$2,"",VLOOKUP(F80,'DATASHEET EQUIPAMENTOS'!D:N,11,FALSE))</f>
        <v/>
      </c>
      <c r="AD80" s="57" t="n">
        <v>3</v>
      </c>
      <c r="AE80" s="56">
        <f>IF(F80=$Z$2,"",VLOOKUP(F80,'DATASHEET EQUIPAMENTOS'!D:O,12,FALSE))</f>
        <v/>
      </c>
      <c r="AF80" s="57" t="n">
        <v>0</v>
      </c>
      <c r="AG80" s="57">
        <f>IF(SUM(AA80,AC80,AE80)&lt;=SUM(AB80,AD80,AF80),"CONFORME ✓",IF(SUM(AA80,AC80,AE80)&gt;SUM(AB80,AD80,AF80),"NÃO CONFORME ✗"))</f>
        <v/>
      </c>
      <c r="AH80" s="72" t="n">
        <v>4</v>
      </c>
      <c r="AI80" s="72" t="n">
        <v>4</v>
      </c>
      <c r="AJ80" s="72" t="n">
        <v>3.5</v>
      </c>
      <c r="AK80" s="7" t="inlineStr">
        <is>
          <t>DEFINIR LOCAL DE FIXAÇÃO DO PAÍNEL E ALTERAR SE NECESSÁRIO</t>
        </is>
      </c>
      <c r="AL80" s="58">
        <f>IFERROR(CALCULOS!H75,"NECESSÁRIO REVISAR DATASHEET")</f>
        <v/>
      </c>
      <c r="AM8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0" s="64">
        <f>SUM(Tabela2[[#This Row],[Nota de Prioridade Quantitativa(NOTAS: 1 PIOR NOTA; 5 MELHOR NOTA)]],Tabela2[[#This Row],[Nota de Prioridade Qualitativa(NOTAS: 1 PIOR NOTA;  5 MELHOR NOTA)]])</f>
        <v/>
      </c>
      <c r="AO80" s="7" t="n">
        <v>152264</v>
      </c>
      <c r="AP80" s="64">
        <f>SUM(Tabela2[[#This Row],[Nota de Prioridade Quantitativa(NOTAS: 1 PIOR NOTA; 5 MELHOR NOTA)]],Tabela2[[#This Row],[Nota de Prioridade Qualitativa(NOTAS: 1 PIOR NOTA;  5 MELHOR NOTA)]])</f>
        <v/>
      </c>
      <c r="AQ80" s="7" t="inlineStr">
        <is>
          <t>MANGUEIRA SOLTA</t>
        </is>
      </c>
      <c r="AR80" s="64">
        <f>SUM(Tabela2[[#This Row],[Nota de Prioridade Quantitativa(NOTAS: 1 PIOR NOTA; 5 MELHOR NOTA)]],Tabela2[[#This Row],[Nota de Prioridade Qualitativa(NOTAS: 1 PIOR NOTA;  5 MELHOR NOTA)]])</f>
        <v/>
      </c>
      <c r="AS80" s="7" t="n"/>
      <c r="AZ80" s="20">
        <f t="array" ref="AZ80">StatusCarga(G80,H80,J80,K80)</f>
        <v/>
      </c>
      <c r="BA80" s="20">
        <f>IF(AZ80="CONFORME","CONFORME ✓","NÃO CONFORME ✗")</f>
        <v/>
      </c>
      <c r="BB80" t="n">
        <v>0</v>
      </c>
      <c r="BC80" t="n">
        <v>180</v>
      </c>
      <c r="BD80" t="n">
        <v>0</v>
      </c>
      <c r="BE80" t="n">
        <v>15</v>
      </c>
      <c r="BF80" t="inlineStr">
        <is>
          <t>CONFORME</t>
        </is>
      </c>
    </row>
    <row r="81" hidden="1" ht="21.75" customHeight="1" thickBot="1">
      <c r="A81" s="77" t="inlineStr">
        <is>
          <t>VGR</t>
        </is>
      </c>
      <c r="B81" s="77" t="inlineStr">
        <is>
          <t>Aboboras</t>
        </is>
      </c>
      <c r="C81" s="80" t="inlineStr">
        <is>
          <t>CA5493</t>
        </is>
      </c>
      <c r="D81" s="80" t="inlineStr">
        <is>
          <t>AFEX</t>
        </is>
      </c>
      <c r="E81" s="78" t="inlineStr">
        <is>
          <t>CATERPILLAR</t>
        </is>
      </c>
      <c r="F81" s="80" t="inlineStr">
        <is>
          <t>cat 789D</t>
        </is>
      </c>
      <c r="G81" s="81">
        <f>IFERROR(IF(F81=$AB$2,"",VLOOKUP(F81,'DATASHEET EQUIPAMENTOS'!D:N,2,FALSE)),"")</f>
        <v/>
      </c>
      <c r="H81" s="82" t="inlineStr">
        <is>
          <t>4x30lbs</t>
        </is>
      </c>
      <c r="I81" s="57">
        <f>_xlfn.XLOOKUP(Tabela2[[#This Row],[Modelo]],'DATASHEET EQUIPAMENTOS'!D:D,'DATASHEET EQUIPAMENTOS'!P:P,"",0,1)</f>
        <v/>
      </c>
      <c r="J81" s="81">
        <f>IF(F81=$Z$2,"",VLOOKUP(F81,'DATASHEET EQUIPAMENTOS'!D:N,3,FALSE))</f>
        <v/>
      </c>
      <c r="K81" s="85" t="n">
        <v>0</v>
      </c>
      <c r="L81" s="95">
        <f>IF(AZ81="CONFORME","CONFORME ✓","NÃO CONFORME ✗")</f>
        <v/>
      </c>
      <c r="M81" s="102">
        <f>IF(F81=$Z$2,"",VLOOKUP(F81,'DATASHEET EQUIPAMENTOS'!D:N,4,FALSE))</f>
        <v/>
      </c>
      <c r="N81" s="103" t="n">
        <v>8</v>
      </c>
      <c r="O81" s="102">
        <f>IF(F81=$Z$2,"",VLOOKUP(F81,'DATASHEET EQUIPAMENTOS'!D:N,5,FALSE))</f>
        <v/>
      </c>
      <c r="P81" s="103" t="n"/>
      <c r="Q81" s="102">
        <f>IF(F81=$Z$2,"",VLOOKUP(F81,'DATASHEET EQUIPAMENTOS'!D:N,6,FALSE))</f>
        <v/>
      </c>
      <c r="R81" s="104" t="n"/>
      <c r="S81" s="95">
        <f>IF(Tabela2[[#This Row],[Instalado Sensor Motor]]="Linear","CONFORME ✓",IF(SUM(M81,O81,Q81)&lt;SUM(N81,P81,R81),"CONFORME ✓",IF(SUM(M81,O81,Q81)=SUM(N81,P81,R81),"CONFORME ✓","NÃO CONFORME ✗")))</f>
        <v/>
      </c>
      <c r="T81" s="91">
        <f>IF(F81=$Z$2,"",VLOOKUP(F81,'DATASHEET EQUIPAMENTOS'!D:N,7,FALSE))</f>
        <v/>
      </c>
      <c r="U81" s="62" t="n">
        <v>12</v>
      </c>
      <c r="V81" s="56">
        <f>IF(F81=$Z$2,"",VLOOKUP(F81,'DATASHEET EQUIPAMENTOS'!D:N,8,FALSE))</f>
        <v/>
      </c>
      <c r="W81" s="62" t="n">
        <v>3</v>
      </c>
      <c r="X81" s="56">
        <f>IF(F81=$Z$2,"",VLOOKUP(F81,'DATASHEET EQUIPAMENTOS'!D:N,9,FALSE))</f>
        <v/>
      </c>
      <c r="Y81" s="62" t="n">
        <v>3</v>
      </c>
      <c r="Z81" s="57">
        <f>IF(SUM(T81,V81,X81)&lt;=SUM(U81,W81,Y81),"CONFORME ✓",IF(SUM(T81,V81,X81)&gt;SUM(U81,W81,Y81),"NÃO CONFORME ✗"))</f>
        <v/>
      </c>
      <c r="AA81" s="56">
        <f>IF(F81=$Z$2,"",VLOOKUP(F81,'DATASHEET EQUIPAMENTOS'!D:N,10,FALSE))</f>
        <v/>
      </c>
      <c r="AB81" s="57" t="n"/>
      <c r="AC81" s="56">
        <f>IF(F81=$Z$2,"",VLOOKUP(F81,'DATASHEET EQUIPAMENTOS'!D:N,11,FALSE))</f>
        <v/>
      </c>
      <c r="AD81" s="57" t="n"/>
      <c r="AE81" s="56">
        <f>IF(F81=$Z$2,"",VLOOKUP(F81,'DATASHEET EQUIPAMENTOS'!D:O,12,FALSE))</f>
        <v/>
      </c>
      <c r="AF81" s="57" t="n"/>
      <c r="AG81" s="57">
        <f>IF(SUM(AA81,AC81,AE81)&lt;=SUM(AB81,AD81,AF81),"CONFORME ✓",IF(SUM(AA81,AC81,AE81)&gt;SUM(AB81,AD81,AF81),"NÃO CONFORME ✗"))</f>
        <v/>
      </c>
      <c r="AH81" s="72" t="n">
        <v>4</v>
      </c>
      <c r="AI81" s="72" t="n">
        <v>4</v>
      </c>
      <c r="AJ81" s="72" t="n">
        <v>5</v>
      </c>
      <c r="AK81" s="7" t="inlineStr">
        <is>
          <t>MELHORAR FIXAÇÃO DOS CABOS DE BICOS PQS</t>
        </is>
      </c>
      <c r="AL81" s="58">
        <f>IFERROR(CALCULOS!H76,"NECESSÁRIO REVISAR DATASHEET")</f>
        <v/>
      </c>
      <c r="AM8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1" s="64">
        <f>SUM(Tabela2[[#This Row],[Nota de Prioridade Quantitativa(NOTAS: 1 PIOR NOTA; 5 MELHOR NOTA)]],Tabela2[[#This Row],[Nota de Prioridade Qualitativa(NOTAS: 1 PIOR NOTA;  5 MELHOR NOTA)]])</f>
        <v/>
      </c>
      <c r="AO81" s="7" t="n">
        <v>151430</v>
      </c>
      <c r="AP81" s="64">
        <f>SUM(Tabela2[[#This Row],[Nota de Prioridade Quantitativa(NOTAS: 1 PIOR NOTA; 5 MELHOR NOTA)]],Tabela2[[#This Row],[Nota de Prioridade Qualitativa(NOTAS: 1 PIOR NOTA;  5 MELHOR NOTA)]])</f>
        <v/>
      </c>
      <c r="AQ81" s="7" t="n"/>
      <c r="AR81" s="64">
        <f>SUM(Tabela2[[#This Row],[Nota de Prioridade Quantitativa(NOTAS: 1 PIOR NOTA; 5 MELHOR NOTA)]],Tabela2[[#This Row],[Nota de Prioridade Qualitativa(NOTAS: 1 PIOR NOTA;  5 MELHOR NOTA)]])</f>
        <v/>
      </c>
      <c r="AS81" s="7" t="n"/>
      <c r="AZ81" s="20">
        <f t="array" ref="AZ81">StatusCarga(G81,H81,J81,K81)</f>
        <v/>
      </c>
      <c r="BA81" s="20">
        <f>IF(AZ81="CONFORME","CONFORME ✓","NÃO CONFORME ✗")</f>
        <v/>
      </c>
      <c r="BB81" t="n">
        <v>0</v>
      </c>
      <c r="BC81" t="n">
        <v>120</v>
      </c>
      <c r="BD81" t="n">
        <v>0</v>
      </c>
      <c r="BE81" t="n">
        <v>0</v>
      </c>
      <c r="BF81" t="inlineStr">
        <is>
          <t>CONFORME</t>
        </is>
      </c>
    </row>
    <row r="82" hidden="1" ht="21.75" customHeight="1" thickBot="1">
      <c r="A82" s="77" t="inlineStr">
        <is>
          <t>Mariana</t>
        </is>
      </c>
      <c r="B82" s="77" t="inlineStr">
        <is>
          <t>Fabrica Nova</t>
        </is>
      </c>
      <c r="C82" s="80" t="inlineStr">
        <is>
          <t>CA66543</t>
        </is>
      </c>
      <c r="D82" s="80" t="inlineStr">
        <is>
          <t>AFEX</t>
        </is>
      </c>
      <c r="E82" s="78" t="inlineStr">
        <is>
          <t>CATERPILLAR</t>
        </is>
      </c>
      <c r="F82" s="80" t="inlineStr">
        <is>
          <t>cat 789d</t>
        </is>
      </c>
      <c r="G82" s="81">
        <f>IFERROR(IF(F82=$AB$2,"",VLOOKUP(F82,'DATASHEET EQUIPAMENTOS'!D:N,2,FALSE)),"")</f>
        <v/>
      </c>
      <c r="H82" s="82" t="inlineStr">
        <is>
          <t>4x30lbs</t>
        </is>
      </c>
      <c r="I82" s="57">
        <f>_xlfn.XLOOKUP(Tabela2[[#This Row],[Modelo]],'DATASHEET EQUIPAMENTOS'!D:D,'DATASHEET EQUIPAMENTOS'!P:P,"",0,1)</f>
        <v/>
      </c>
      <c r="J82" s="81">
        <f>IF(F82=$Z$2,"",VLOOKUP(F82,'DATASHEET EQUIPAMENTOS'!D:N,3,FALSE))</f>
        <v/>
      </c>
      <c r="K82" s="85" t="n">
        <v>0</v>
      </c>
      <c r="L82" s="95">
        <f>IF(AZ82="CONFORME","CONFORME ✓","NÃO CONFORME ✗")</f>
        <v/>
      </c>
      <c r="M82" s="102">
        <f>IF(F82=$Z$2,"",VLOOKUP(F82,'DATASHEET EQUIPAMENTOS'!D:N,4,FALSE))</f>
        <v/>
      </c>
      <c r="N82" s="103" t="inlineStr">
        <is>
          <t>Linear</t>
        </is>
      </c>
      <c r="O82" s="102">
        <f>IF(F82=$Z$2,"",VLOOKUP(F82,'DATASHEET EQUIPAMENTOS'!D:N,5,FALSE))</f>
        <v/>
      </c>
      <c r="P82" s="103" t="n"/>
      <c r="Q82" s="102">
        <f>IF(F82=$Z$2,"",VLOOKUP(F82,'DATASHEET EQUIPAMENTOS'!D:N,6,FALSE))</f>
        <v/>
      </c>
      <c r="R82" s="104" t="n"/>
      <c r="S82" s="95">
        <f>IF(Tabela2[[#This Row],[Instalado Sensor Motor]]="Linear","CONFORME ✓",IF(SUM(M82,O82,Q82)&lt;SUM(N82,P82,R82),"CONFORME ✓",IF(SUM(M82,O82,Q82)=SUM(N82,P82,R82),"CONFORME ✓","NÃO CONFORME ✗")))</f>
        <v/>
      </c>
      <c r="T82" s="91">
        <f>IF(F82=$Z$2,"",VLOOKUP(F82,'DATASHEET EQUIPAMENTOS'!D:N,7,FALSE))</f>
        <v/>
      </c>
      <c r="U82" s="57" t="n">
        <v>18</v>
      </c>
      <c r="V82" s="56">
        <f>IF(F82=$Z$2,"",VLOOKUP(F82,'DATASHEET EQUIPAMENTOS'!D:N,8,FALSE))</f>
        <v/>
      </c>
      <c r="W82" s="62" t="n">
        <v>3</v>
      </c>
      <c r="X82" s="56">
        <f>IF(F82=$Z$2,"",VLOOKUP(F82,'DATASHEET EQUIPAMENTOS'!D:N,9,FALSE))</f>
        <v/>
      </c>
      <c r="Y82" s="62" t="n">
        <v>3</v>
      </c>
      <c r="Z82" s="57">
        <f>IF(SUM(T82,V82,X82)&lt;=SUM(U82,W82,Y82),"CONFORME ✓",IF(SUM(T82,V82,X82)&gt;SUM(U82,W82,Y82),"NÃO CONFORME ✗"))</f>
        <v/>
      </c>
      <c r="AA82" s="56">
        <f>IF(F82=$Z$2,"",VLOOKUP(F82,'DATASHEET EQUIPAMENTOS'!D:N,10,FALSE))</f>
        <v/>
      </c>
      <c r="AB82" s="57" t="n">
        <v>18</v>
      </c>
      <c r="AC82" s="56">
        <f>IF(F82=$Z$2,"",VLOOKUP(F82,'DATASHEET EQUIPAMENTOS'!D:N,11,FALSE))</f>
        <v/>
      </c>
      <c r="AD82" s="57" t="n">
        <v>9</v>
      </c>
      <c r="AE82" s="56">
        <f>IF(F82=$Z$2,"",VLOOKUP(F82,'DATASHEET EQUIPAMENTOS'!D:O,12,FALSE))</f>
        <v/>
      </c>
      <c r="AF82" s="57" t="n">
        <v>9</v>
      </c>
      <c r="AG82" s="57">
        <f>IF(SUM(AA82,AC82,AE82)&lt;=SUM(AB82,AD82,AF82),"CONFORME ✓",IF(SUM(AA82,AC82,AE82)&gt;SUM(AB82,AD82,AF82),"NÃO CONFORME ✗"))</f>
        <v/>
      </c>
      <c r="AH82" s="72" t="n">
        <v>2.5</v>
      </c>
      <c r="AI82" s="72" t="n">
        <v>4</v>
      </c>
      <c r="AJ82" s="72" t="n">
        <v>5</v>
      </c>
      <c r="AK82" s="7" t="inlineStr">
        <is>
          <t>REFAZER O CABEAMENTO DO CABO SENSOR COM FIXAÇÕES ADEQUADAS; RETORNAR NO EQUIPAMENTO E REFAZER A CONTAGEM DOS BICOS DE AGENTE LÍQUIDO</t>
        </is>
      </c>
      <c r="AL82" s="58">
        <f>IFERROR(CALCULOS!H77,"NECESSÁRIO REVISAR DATASHEET")</f>
        <v/>
      </c>
      <c r="AM8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2" s="64">
        <f>SUM(Tabela2[[#This Row],[Nota de Prioridade Quantitativa(NOTAS: 1 PIOR NOTA; 5 MELHOR NOTA)]],Tabela2[[#This Row],[Nota de Prioridade Qualitativa(NOTAS: 1 PIOR NOTA;  5 MELHOR NOTA)]])</f>
        <v/>
      </c>
      <c r="AO82" s="7" t="n">
        <v>152777</v>
      </c>
      <c r="AP82" s="64">
        <f>SUM(Tabela2[[#This Row],[Nota de Prioridade Quantitativa(NOTAS: 1 PIOR NOTA; 5 MELHOR NOTA)]],Tabela2[[#This Row],[Nota de Prioridade Qualitativa(NOTAS: 1 PIOR NOTA;  5 MELHOR NOTA)]])</f>
        <v/>
      </c>
      <c r="AQ82" s="7" t="inlineStr">
        <is>
          <t>RETORNAR NO EQUIPAMENTO</t>
        </is>
      </c>
      <c r="AR82" s="64">
        <f>SUM(Tabela2[[#This Row],[Nota de Prioridade Quantitativa(NOTAS: 1 PIOR NOTA; 5 MELHOR NOTA)]],Tabela2[[#This Row],[Nota de Prioridade Qualitativa(NOTAS: 1 PIOR NOTA;  5 MELHOR NOTA)]])</f>
        <v/>
      </c>
      <c r="AS82" s="7" t="n"/>
      <c r="AZ82" s="20">
        <f t="array" ref="AZ82">StatusCarga(G82,H82,J82,K82)</f>
        <v/>
      </c>
      <c r="BA82" s="20">
        <f>IF(AZ82="CONFORME","CONFORME ✓","NÃO CONFORME ✗")</f>
        <v/>
      </c>
      <c r="BB82" t="n">
        <v>0</v>
      </c>
      <c r="BC82" t="n">
        <v>120</v>
      </c>
      <c r="BD82" t="n">
        <v>0</v>
      </c>
      <c r="BE82" t="n">
        <v>0</v>
      </c>
      <c r="BF82" t="inlineStr">
        <is>
          <t>CONFORME</t>
        </is>
      </c>
    </row>
    <row r="83" hidden="1" ht="21.75" customHeight="1" thickBot="1">
      <c r="A83" s="77" t="inlineStr">
        <is>
          <t>Mariana</t>
        </is>
      </c>
      <c r="B83" s="77" t="inlineStr">
        <is>
          <t>Fabrica Nova</t>
        </is>
      </c>
      <c r="C83" s="80" t="inlineStr">
        <is>
          <t>CA5419</t>
        </is>
      </c>
      <c r="D83" s="80" t="inlineStr">
        <is>
          <t>KIDDE</t>
        </is>
      </c>
      <c r="E83" s="78" t="inlineStr">
        <is>
          <t>CATERPILLAR</t>
        </is>
      </c>
      <c r="F83" s="80" t="inlineStr">
        <is>
          <t>cat 785C</t>
        </is>
      </c>
      <c r="G83" s="81">
        <f>IFERROR(IF(F83=$AB$2,"",VLOOKUP(F83,'DATASHEET EQUIPAMENTOS'!D:N,2,FALSE)),"")</f>
        <v/>
      </c>
      <c r="H83" s="82" t="inlineStr">
        <is>
          <t>2x50lbs</t>
        </is>
      </c>
      <c r="I83" s="57">
        <f>_xlfn.XLOOKUP(Tabela2[[#This Row],[Modelo]],'DATASHEET EQUIPAMENTOS'!D:D,'DATASHEET EQUIPAMENTOS'!P:P,"",0,1)</f>
        <v/>
      </c>
      <c r="J83" s="81">
        <f>IF(F83=$Z$2,"",VLOOKUP(F83,'DATASHEET EQUIPAMENTOS'!D:N,3,FALSE))</f>
        <v/>
      </c>
      <c r="K83" s="85" t="inlineStr">
        <is>
          <t>1x15gal</t>
        </is>
      </c>
      <c r="L83" s="95">
        <f>IF(AZ83="CONFORME","CONFORME ✓","NÃO CONFORME ✗")</f>
        <v/>
      </c>
      <c r="M83" s="102">
        <f>IF(F83=$Z$2,"",VLOOKUP(F83,'DATASHEET EQUIPAMENTOS'!D:N,4,FALSE))</f>
        <v/>
      </c>
      <c r="N83" s="103" t="inlineStr">
        <is>
          <t>Linear</t>
        </is>
      </c>
      <c r="O83" s="102">
        <f>IF(F83=$Z$2,"",VLOOKUP(F83,'DATASHEET EQUIPAMENTOS'!D:N,5,FALSE))</f>
        <v/>
      </c>
      <c r="P83" s="103" t="n"/>
      <c r="Q83" s="102">
        <f>IF(F83=$Z$2,"",VLOOKUP(F83,'DATASHEET EQUIPAMENTOS'!D:N,6,FALSE))</f>
        <v/>
      </c>
      <c r="R83" s="104" t="n"/>
      <c r="S83" s="95">
        <f>IF(Tabela2[[#This Row],[Instalado Sensor Motor]]="Linear","CONFORME ✓",IF(SUM(M83,O83,Q83)&lt;SUM(N83,P83,R83),"CONFORME ✓",IF(SUM(M83,O83,Q83)=SUM(N83,P83,R83),"CONFORME ✓","NÃO CONFORME ✗")))</f>
        <v/>
      </c>
      <c r="T83" s="91">
        <f>IF(F83=$Z$2,"",VLOOKUP(F83,'DATASHEET EQUIPAMENTOS'!D:N,7,FALSE))</f>
        <v/>
      </c>
      <c r="U83" s="57" t="n">
        <v>4</v>
      </c>
      <c r="V83" s="56">
        <f>IF(F83=$Z$2,"",VLOOKUP(F83,'DATASHEET EQUIPAMENTOS'!D:N,8,FALSE))</f>
        <v/>
      </c>
      <c r="W83" s="57" t="n">
        <v>5</v>
      </c>
      <c r="X83" s="56">
        <f>IF(F83=$Z$2,"",VLOOKUP(F83,'DATASHEET EQUIPAMENTOS'!D:N,9,FALSE))</f>
        <v/>
      </c>
      <c r="Y83" s="57" t="n">
        <v>2</v>
      </c>
      <c r="Z83" s="57">
        <f>IF(SUM(T83,V83,X83)&lt;=SUM(U83,W83,Y83),"CONFORME ✓",IF(SUM(T83,V83,X83)&gt;SUM(U83,W83,Y83),"NÃO CONFORME ✗"))</f>
        <v/>
      </c>
      <c r="AA83" s="56">
        <f>IF(F83=$Z$2,"",VLOOKUP(F83,'DATASHEET EQUIPAMENTOS'!D:N,10,FALSE))</f>
        <v/>
      </c>
      <c r="AB83" s="57" t="n">
        <v>8</v>
      </c>
      <c r="AC83" s="56">
        <f>IF(F83=$Z$2,"",VLOOKUP(F83,'DATASHEET EQUIPAMENTOS'!D:N,11,FALSE))</f>
        <v/>
      </c>
      <c r="AD83" s="57" t="n">
        <v>0</v>
      </c>
      <c r="AE83" s="56">
        <f>IF(F83=$Z$2,"",VLOOKUP(F83,'DATASHEET EQUIPAMENTOS'!D:O,12,FALSE))</f>
        <v/>
      </c>
      <c r="AF83" s="57" t="n">
        <v>0</v>
      </c>
      <c r="AG83" s="57">
        <f>IF(SUM(AA83,AC83,AE83)&lt;=SUM(AB83,AD83,AF83),"CONFORME ✓",IF(SUM(AA83,AC83,AE83)&gt;SUM(AB83,AD83,AF83),"NÃO CONFORME ✗"))</f>
        <v/>
      </c>
      <c r="AH83" s="72" t="n">
        <v>3.5</v>
      </c>
      <c r="AI83" s="72" t="n">
        <v>4.5</v>
      </c>
      <c r="AJ83" s="72" t="n">
        <v>2</v>
      </c>
      <c r="AK83" s="7" t="inlineStr">
        <is>
          <t>REALIZAR AVALIAÇÃO DO POSICIONAMENTO DO ATUADOR E PAINEL DE MONITORAMENTO SE NECESSÁRIO REALIZAR ALTERAÇÃO; MELHORAR FIXAÇÃO DOS CABOS LINEAR; VOLTAR NO EQUIPAMENTO PARA RECONTAGEM DE BICOS PQS</t>
        </is>
      </c>
      <c r="AL83" s="58">
        <f>IFERROR(CALCULOS!H78,"NECESSÁRIO REVISAR DATASHEET")</f>
        <v/>
      </c>
      <c r="AM8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3" s="64">
        <f>SUM(Tabela2[[#This Row],[Nota de Prioridade Quantitativa(NOTAS: 1 PIOR NOTA; 5 MELHOR NOTA)]],Tabela2[[#This Row],[Nota de Prioridade Qualitativa(NOTAS: 1 PIOR NOTA;  5 MELHOR NOTA)]])</f>
        <v/>
      </c>
      <c r="AO83" s="7" t="n">
        <v>152199</v>
      </c>
      <c r="AP83" s="64">
        <f>SUM(Tabela2[[#This Row],[Nota de Prioridade Quantitativa(NOTAS: 1 PIOR NOTA; 5 MELHOR NOTA)]],Tabela2[[#This Row],[Nota de Prioridade Qualitativa(NOTAS: 1 PIOR NOTA;  5 MELHOR NOTA)]])</f>
        <v/>
      </c>
      <c r="AQ83" s="7" t="n"/>
      <c r="AR83" s="64">
        <f>SUM(Tabela2[[#This Row],[Nota de Prioridade Quantitativa(NOTAS: 1 PIOR NOTA; 5 MELHOR NOTA)]],Tabela2[[#This Row],[Nota de Prioridade Qualitativa(NOTAS: 1 PIOR NOTA;  5 MELHOR NOTA)]])</f>
        <v/>
      </c>
      <c r="AS83" s="7" t="n"/>
      <c r="AZ83" s="20">
        <f t="array" ref="AZ83">StatusCarga(G83,H83,J83,K83)</f>
        <v/>
      </c>
      <c r="BA83" s="20">
        <f>IF(AZ83="CONFORME","CONFORME ✓","NÃO CONFORME ✗")</f>
        <v/>
      </c>
      <c r="BB83" t="n">
        <v>0</v>
      </c>
      <c r="BC83" t="n">
        <v>100</v>
      </c>
      <c r="BD83" t="n">
        <v>0</v>
      </c>
      <c r="BE83" t="n">
        <v>15</v>
      </c>
      <c r="BF83" t="inlineStr">
        <is>
          <t>CONFORME</t>
        </is>
      </c>
    </row>
    <row r="84" hidden="1" ht="21.75" customHeight="1" thickBot="1">
      <c r="A84" s="77" t="inlineStr">
        <is>
          <t>Paraoupeba</t>
        </is>
      </c>
      <c r="B84" s="77" t="inlineStr">
        <is>
          <t>Jangada</t>
        </is>
      </c>
      <c r="C84" s="80" t="inlineStr">
        <is>
          <t>CA5325</t>
        </is>
      </c>
      <c r="D84" s="80" t="inlineStr">
        <is>
          <t>AFEX</t>
        </is>
      </c>
      <c r="E84" s="78" t="inlineStr">
        <is>
          <t>CATERPILLAR</t>
        </is>
      </c>
      <c r="F84" s="80" t="inlineStr">
        <is>
          <t>CAT 777G</t>
        </is>
      </c>
      <c r="G84" s="81">
        <f>IFERROR(IF(F84=$AB$2,"",VLOOKUP(F84,'DATASHEET EQUIPAMENTOS'!D:N,2,FALSE)),"")</f>
        <v/>
      </c>
      <c r="H84" s="82" t="inlineStr">
        <is>
          <t>3x30lbs</t>
        </is>
      </c>
      <c r="I84" s="57">
        <f>_xlfn.XLOOKUP(Tabela2[[#This Row],[Modelo]],'DATASHEET EQUIPAMENTOS'!D:D,'DATASHEET EQUIPAMENTOS'!P:P,"",0,1)</f>
        <v/>
      </c>
      <c r="J84" s="81">
        <f>IF(F84=$Z$2,"",VLOOKUP(F84,'DATASHEET EQUIPAMENTOS'!D:N,3,FALSE))</f>
        <v/>
      </c>
      <c r="K84" s="85" t="n">
        <v>0</v>
      </c>
      <c r="L84" s="95">
        <f>IF(AZ84="CONFORME","CONFORME ✓","NÃO CONFORME ✗")</f>
        <v/>
      </c>
      <c r="M84" s="102">
        <f>IF(F84=$Z$2,"",VLOOKUP(F84,'DATASHEET EQUIPAMENTOS'!D:N,4,FALSE))</f>
        <v/>
      </c>
      <c r="N84" s="103" t="n">
        <v>6</v>
      </c>
      <c r="O84" s="102">
        <f>IF(F84=$Z$2,"",VLOOKUP(F84,'DATASHEET EQUIPAMENTOS'!D:N,5,FALSE))</f>
        <v/>
      </c>
      <c r="P84" s="103" t="n">
        <v>2</v>
      </c>
      <c r="Q84" s="102">
        <f>IF(F84=$Z$2,"",VLOOKUP(F84,'DATASHEET EQUIPAMENTOS'!D:N,6,FALSE))</f>
        <v/>
      </c>
      <c r="R84" s="104" t="n"/>
      <c r="S84" s="95">
        <f>IF(Tabela2[[#This Row],[Instalado Sensor Motor]]="Linear","CONFORME ✓",IF(SUM(M84,O84,Q84)&lt;SUM(N84,P84,R84),"CONFORME ✓",IF(SUM(M84,O84,Q84)=SUM(N84,P84,R84),"CONFORME ✓","NÃO CONFORME ✗")))</f>
        <v/>
      </c>
      <c r="T84" s="91">
        <f>IF(F84=$Z$2,"",VLOOKUP(F84,'DATASHEET EQUIPAMENTOS'!D:N,7,FALSE))</f>
        <v/>
      </c>
      <c r="U84" s="57" t="n">
        <v>12</v>
      </c>
      <c r="V84" s="56">
        <f>IF(F84=$Z$2,"",VLOOKUP(F84,'DATASHEET EQUIPAMENTOS'!D:N,8,FALSE))</f>
        <v/>
      </c>
      <c r="W84" s="57" t="n">
        <v>6</v>
      </c>
      <c r="X84" s="56">
        <f>IF(F84=$Z$2,"",VLOOKUP(F84,'DATASHEET EQUIPAMENTOS'!D:N,9,FALSE))</f>
        <v/>
      </c>
      <c r="Y84" s="57" t="n"/>
      <c r="Z84" s="57">
        <f>IF(SUM(T84,V84,X84)&lt;=SUM(U84,W84,Y84),"CONFORME ✓",IF(SUM(T84,V84,X84)&gt;SUM(U84,W84,Y84),"NÃO CONFORME ✗"))</f>
        <v/>
      </c>
      <c r="AA84" s="56">
        <f>IF(F84=$Z$2,"",VLOOKUP(F84,'DATASHEET EQUIPAMENTOS'!D:N,10,FALSE))</f>
        <v/>
      </c>
      <c r="AB84" s="57" t="n"/>
      <c r="AC84" s="56">
        <f>IF(F84=$Z$2,"",VLOOKUP(F84,'DATASHEET EQUIPAMENTOS'!D:N,11,FALSE))</f>
        <v/>
      </c>
      <c r="AD84" s="57" t="n"/>
      <c r="AE84" s="56">
        <f>IF(F84=$Z$2,"",VLOOKUP(F84,'DATASHEET EQUIPAMENTOS'!D:O,12,FALSE))</f>
        <v/>
      </c>
      <c r="AF84" s="57" t="n"/>
      <c r="AG84" s="57">
        <f>IF(SUM(AA84,AC84,AE84)&lt;=SUM(AB84,AD84,AF84),"CONFORME ✓",IF(SUM(AA84,AC84,AE84)&gt;SUM(AB84,AD84,AF84),"NÃO CONFORME ✗"))</f>
        <v/>
      </c>
      <c r="AH84" s="72" t="n"/>
      <c r="AI84" s="72" t="n"/>
      <c r="AJ84" s="72" t="n"/>
      <c r="AK84" s="7" t="inlineStr">
        <is>
          <t>FOI REALIZADO ANÁLISE DE LAYOUTS SCI</t>
        </is>
      </c>
      <c r="AL84" s="58">
        <f>IFERROR(CALCULOS!H79,"NECESSÁRIO REVISAR DATASHEET")</f>
        <v/>
      </c>
      <c r="AM8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4" s="64">
        <f>SUM(Tabela2[[#This Row],[Nota de Prioridade Quantitativa(NOTAS: 1 PIOR NOTA; 5 MELHOR NOTA)]],Tabela2[[#This Row],[Nota de Prioridade Qualitativa(NOTAS: 1 PIOR NOTA;  5 MELHOR NOTA)]])</f>
        <v/>
      </c>
      <c r="AO84" s="7" t="n">
        <v>152874</v>
      </c>
      <c r="AP84" s="64">
        <f>SUM(Tabela2[[#This Row],[Nota de Prioridade Quantitativa(NOTAS: 1 PIOR NOTA; 5 MELHOR NOTA)]],Tabela2[[#This Row],[Nota de Prioridade Qualitativa(NOTAS: 1 PIOR NOTA;  5 MELHOR NOTA)]])</f>
        <v/>
      </c>
      <c r="AQ84" s="7" t="n"/>
      <c r="AR84" s="64">
        <f>SUM(Tabela2[[#This Row],[Nota de Prioridade Quantitativa(NOTAS: 1 PIOR NOTA; 5 MELHOR NOTA)]],Tabela2[[#This Row],[Nota de Prioridade Qualitativa(NOTAS: 1 PIOR NOTA;  5 MELHOR NOTA)]])</f>
        <v/>
      </c>
      <c r="AS84" s="7" t="n"/>
      <c r="AZ84" s="20">
        <f t="array" ref="AZ84">StatusCarga(G84,H84,J84,K84)</f>
        <v/>
      </c>
      <c r="BA84" s="20">
        <f>IF(AZ84="CONFORME","CONFORME ✓","NÃO CONFORME ✗")</f>
        <v/>
      </c>
      <c r="BB84" t="n">
        <v>0</v>
      </c>
      <c r="BC84" t="n">
        <v>90</v>
      </c>
      <c r="BD84" t="n">
        <v>0</v>
      </c>
      <c r="BE84" t="n">
        <v>0</v>
      </c>
      <c r="BF84" t="inlineStr">
        <is>
          <t>CONFORME</t>
        </is>
      </c>
    </row>
    <row r="85" hidden="1" ht="21.75" customHeight="1" thickBot="1">
      <c r="A85" s="77" t="inlineStr">
        <is>
          <t>Mariana</t>
        </is>
      </c>
      <c r="B85" s="77" t="inlineStr">
        <is>
          <t>Fabrica Nova</t>
        </is>
      </c>
      <c r="C85" s="80" t="inlineStr">
        <is>
          <t>CA66545</t>
        </is>
      </c>
      <c r="D85" s="80" t="inlineStr">
        <is>
          <t>AFEX</t>
        </is>
      </c>
      <c r="E85" s="78" t="inlineStr">
        <is>
          <t>CATERPILLAR</t>
        </is>
      </c>
      <c r="F85" s="80" t="inlineStr">
        <is>
          <t>CAT 789D</t>
        </is>
      </c>
      <c r="G85" s="81">
        <f>IFERROR(IF(F85=$AB$2,"",VLOOKUP(F85,'DATASHEET EQUIPAMENTOS'!D:N,2,FALSE)),"")</f>
        <v/>
      </c>
      <c r="H85" s="82" t="inlineStr">
        <is>
          <t>2x60lbs</t>
        </is>
      </c>
      <c r="I85" s="57">
        <f>_xlfn.XLOOKUP(Tabela2[[#This Row],[Modelo]],'DATASHEET EQUIPAMENTOS'!D:D,'DATASHEET EQUIPAMENTOS'!P:P,"",0,1)</f>
        <v/>
      </c>
      <c r="J85" s="81">
        <f>IF(F85=$Z$2,"",VLOOKUP(F85,'DATASHEET EQUIPAMENTOS'!D:N,3,FALSE))</f>
        <v/>
      </c>
      <c r="K85" s="85" t="inlineStr">
        <is>
          <t>2x5gal</t>
        </is>
      </c>
      <c r="L85" s="95">
        <f>IF(AZ85="CONFORME","CONFORME ✓","NÃO CONFORME ✗")</f>
        <v/>
      </c>
      <c r="M85" s="102">
        <f>IF(F85=$Z$2,"",VLOOKUP(F85,'DATASHEET EQUIPAMENTOS'!D:N,4,FALSE))</f>
        <v/>
      </c>
      <c r="N85" s="103" t="inlineStr">
        <is>
          <t>Linear</t>
        </is>
      </c>
      <c r="O85" s="102">
        <f>IF(F85=$Z$2,"",VLOOKUP(F85,'DATASHEET EQUIPAMENTOS'!D:N,5,FALSE))</f>
        <v/>
      </c>
      <c r="P85" s="103" t="n"/>
      <c r="Q85" s="102">
        <f>IF(F85=$Z$2,"",VLOOKUP(F85,'DATASHEET EQUIPAMENTOS'!D:N,6,FALSE))</f>
        <v/>
      </c>
      <c r="R85" s="104" t="n"/>
      <c r="S85" s="95">
        <f>IF(Tabela2[[#This Row],[Instalado Sensor Motor]]="Linear","CONFORME ✓",IF(SUM(M85,O85,Q85)&lt;SUM(N85,P85,R85),"CONFORME ✓",IF(SUM(M85,O85,Q85)=SUM(N85,P85,R85),"CONFORME ✓","NÃO CONFORME ✗")))</f>
        <v/>
      </c>
      <c r="T85" s="91">
        <f>IF(F85=$Z$2,"",VLOOKUP(F85,'DATASHEET EQUIPAMENTOS'!D:N,7,FALSE))</f>
        <v/>
      </c>
      <c r="U85" s="57" t="n">
        <v>18</v>
      </c>
      <c r="V85" s="56">
        <f>IF(F85=$Z$2,"",VLOOKUP(F85,'DATASHEET EQUIPAMENTOS'!D:N,8,FALSE))</f>
        <v/>
      </c>
      <c r="W85" s="62" t="n">
        <v>3</v>
      </c>
      <c r="X85" s="56">
        <f>IF(F85=$Z$2,"",VLOOKUP(F85,'DATASHEET EQUIPAMENTOS'!D:N,9,FALSE))</f>
        <v/>
      </c>
      <c r="Y85" s="57" t="n">
        <v>3</v>
      </c>
      <c r="Z85" s="57">
        <f>IF(SUM(T85,V85,X85)&lt;=SUM(U85,W85,Y85),"CONFORME ✓",IF(SUM(T85,V85,X85)&gt;SUM(U85,W85,Y85),"NÃO CONFORME ✗"))</f>
        <v/>
      </c>
      <c r="AA85" s="56">
        <f>IF(F85=$Z$2,"",VLOOKUP(F85,'DATASHEET EQUIPAMENTOS'!D:N,10,FALSE))</f>
        <v/>
      </c>
      <c r="AB85" s="62" t="n">
        <v>4</v>
      </c>
      <c r="AC85" s="56">
        <f>IF(F85=$Z$2,"",VLOOKUP(F85,'DATASHEET EQUIPAMENTOS'!D:N,11,FALSE))</f>
        <v/>
      </c>
      <c r="AD85" s="57" t="n"/>
      <c r="AE85" s="56">
        <f>IF(F85=$Z$2,"",VLOOKUP(F85,'DATASHEET EQUIPAMENTOS'!D:O,12,FALSE))</f>
        <v/>
      </c>
      <c r="AF85" s="57" t="n"/>
      <c r="AG85" s="57">
        <f>IF(SUM(AA85,AC85,AE85)&lt;=SUM(AB85,AD85,AF85),"CONFORME ✓",IF(SUM(AA85,AC85,AE85)&gt;SUM(AB85,AD85,AF85),"NÃO CONFORME ✗"))</f>
        <v/>
      </c>
      <c r="AH85" s="72" t="n">
        <v>2</v>
      </c>
      <c r="AI85" s="72" t="n">
        <v>3</v>
      </c>
      <c r="AJ85" s="72" t="n">
        <v>5</v>
      </c>
      <c r="AK85" s="7" t="inlineStr">
        <is>
          <t>REFAZER FIXAÇÃO DO CABO LINEAR E FIXAÇÃO DE MANGUEIRAS</t>
        </is>
      </c>
      <c r="AL85" s="58">
        <f>IFERROR(CALCULOS!H80,"NECESSÁRIO REVISAR DATASHEET")</f>
        <v/>
      </c>
      <c r="AM8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5" s="64">
        <f>SUM(Tabela2[[#This Row],[Nota de Prioridade Quantitativa(NOTAS: 1 PIOR NOTA; 5 MELHOR NOTA)]],Tabela2[[#This Row],[Nota de Prioridade Qualitativa(NOTAS: 1 PIOR NOTA;  5 MELHOR NOTA)]])</f>
        <v/>
      </c>
      <c r="AO85" s="7" t="n">
        <v>151277</v>
      </c>
      <c r="AP85" s="64">
        <f>SUM(Tabela2[[#This Row],[Nota de Prioridade Quantitativa(NOTAS: 1 PIOR NOTA; 5 MELHOR NOTA)]],Tabela2[[#This Row],[Nota de Prioridade Qualitativa(NOTAS: 1 PIOR NOTA;  5 MELHOR NOTA)]])</f>
        <v/>
      </c>
      <c r="AQ85" s="7" t="n"/>
      <c r="AR85" s="64">
        <f>SUM(Tabela2[[#This Row],[Nota de Prioridade Quantitativa(NOTAS: 1 PIOR NOTA; 5 MELHOR NOTA)]],Tabela2[[#This Row],[Nota de Prioridade Qualitativa(NOTAS: 1 PIOR NOTA;  5 MELHOR NOTA)]])</f>
        <v/>
      </c>
      <c r="AS85" s="7" t="n"/>
      <c r="AZ85" s="20">
        <f t="array" ref="AZ85">StatusCarga(G85,H85,J85,K85)</f>
        <v/>
      </c>
      <c r="BA85" s="20">
        <f>IF(AZ85="CONFORME","CONFORME ✓","NÃO CONFORME ✗")</f>
        <v/>
      </c>
      <c r="BB85" t="n">
        <v>0</v>
      </c>
      <c r="BC85" t="n">
        <v>120</v>
      </c>
      <c r="BD85" t="n">
        <v>0</v>
      </c>
      <c r="BE85" t="n">
        <v>10</v>
      </c>
      <c r="BF85" t="inlineStr">
        <is>
          <t>CONFORME</t>
        </is>
      </c>
    </row>
    <row r="86" hidden="1" ht="21.75" customHeight="1" thickBot="1">
      <c r="A86" s="77" t="inlineStr">
        <is>
          <t>Paraoupeba</t>
        </is>
      </c>
      <c r="B86" s="77" t="inlineStr">
        <is>
          <t>Mar azul</t>
        </is>
      </c>
      <c r="C86" s="80" t="inlineStr">
        <is>
          <t>CA5316</t>
        </is>
      </c>
      <c r="D86" s="80" t="inlineStr">
        <is>
          <t>AFEX</t>
        </is>
      </c>
      <c r="E86" s="78" t="inlineStr">
        <is>
          <t>CATERPILLAR</t>
        </is>
      </c>
      <c r="F86" s="80" t="inlineStr">
        <is>
          <t>CAT 777G</t>
        </is>
      </c>
      <c r="G86" s="81">
        <f>IFERROR(IF(F86=$AB$2,"",VLOOKUP(F86,'DATASHEET EQUIPAMENTOS'!D:N,2,FALSE)),"")</f>
        <v/>
      </c>
      <c r="H86" s="82" t="inlineStr">
        <is>
          <t>3x30lbs</t>
        </is>
      </c>
      <c r="I86" s="57">
        <f>_xlfn.XLOOKUP(Tabela2[[#This Row],[Modelo]],'DATASHEET EQUIPAMENTOS'!D:D,'DATASHEET EQUIPAMENTOS'!P:P,"",0,1)</f>
        <v/>
      </c>
      <c r="J86" s="81">
        <f>IF(F86=$Z$2,"",VLOOKUP(F86,'DATASHEET EQUIPAMENTOS'!D:N,3,FALSE))</f>
        <v/>
      </c>
      <c r="K86" s="85" t="n">
        <v>0</v>
      </c>
      <c r="L86" s="95">
        <f>IF(AZ86="CONFORME","CONFORME ✓","NÃO CONFORME ✗")</f>
        <v/>
      </c>
      <c r="M86" s="102">
        <f>IF(F86=$Z$2,"",VLOOKUP(F86,'DATASHEET EQUIPAMENTOS'!D:N,4,FALSE))</f>
        <v/>
      </c>
      <c r="N86" s="103" t="n">
        <v>4</v>
      </c>
      <c r="O86" s="102">
        <f>IF(F86=$Z$2,"",VLOOKUP(F86,'DATASHEET EQUIPAMENTOS'!D:N,5,FALSE))</f>
        <v/>
      </c>
      <c r="P86" s="103" t="n"/>
      <c r="Q86" s="102">
        <f>IF(F86=$Z$2,"",VLOOKUP(F86,'DATASHEET EQUIPAMENTOS'!D:N,6,FALSE))</f>
        <v/>
      </c>
      <c r="R86" s="104" t="n">
        <v>2</v>
      </c>
      <c r="S86" s="95">
        <f>IF(Tabela2[[#This Row],[Instalado Sensor Motor]]="Linear","CONFORME ✓",IF(SUM(M86,O86,Q86)&lt;SUM(N86,P86,R86),"CONFORME ✓",IF(SUM(M86,O86,Q86)=SUM(N86,P86,R86),"CONFORME ✓","NÃO CONFORME ✗")))</f>
        <v/>
      </c>
      <c r="T86" s="91">
        <f>IF(F86=$Z$2,"",VLOOKUP(F86,'DATASHEET EQUIPAMENTOS'!D:N,7,FALSE))</f>
        <v/>
      </c>
      <c r="U86" s="57" t="n">
        <v>11</v>
      </c>
      <c r="V86" s="56">
        <f>IF(F86=$Z$2,"",VLOOKUP(F86,'DATASHEET EQUIPAMENTOS'!D:N,8,FALSE))</f>
        <v/>
      </c>
      <c r="W86" s="57" t="n">
        <v>5</v>
      </c>
      <c r="X86" s="56">
        <f>IF(F86=$Z$2,"",VLOOKUP(F86,'DATASHEET EQUIPAMENTOS'!D:N,9,FALSE))</f>
        <v/>
      </c>
      <c r="Y86" s="57" t="n">
        <v>2</v>
      </c>
      <c r="Z86" s="57">
        <f>IF(SUM(T86,V86,X86)&lt;=SUM(U86,W86,Y86),"CONFORME ✓",IF(SUM(T86,V86,X86)&gt;SUM(U86,W86,Y86),"NÃO CONFORME ✗"))</f>
        <v/>
      </c>
      <c r="AA86" s="56">
        <f>IF(F86=$Z$2,"",VLOOKUP(F86,'DATASHEET EQUIPAMENTOS'!D:N,10,FALSE))</f>
        <v/>
      </c>
      <c r="AB86" s="57" t="n">
        <v>0</v>
      </c>
      <c r="AC86" s="56">
        <f>IF(F86=$Z$2,"",VLOOKUP(F86,'DATASHEET EQUIPAMENTOS'!D:N,11,FALSE))</f>
        <v/>
      </c>
      <c r="AD86" s="57" t="n">
        <v>0</v>
      </c>
      <c r="AE86" s="56">
        <f>IF(F86=$Z$2,"",VLOOKUP(F86,'DATASHEET EQUIPAMENTOS'!D:O,12,FALSE))</f>
        <v/>
      </c>
      <c r="AF86" s="57" t="n">
        <v>0</v>
      </c>
      <c r="AG86" s="57">
        <f>IF(SUM(AA86,AC86,AE86)&lt;=SUM(AB86,AD86,AF86),"CONFORME ✓",IF(SUM(AA86,AC86,AE86)&gt;SUM(AB86,AD86,AF86),"NÃO CONFORME ✗"))</f>
        <v/>
      </c>
      <c r="AH86" s="72" t="n"/>
      <c r="AI86" s="72" t="n"/>
      <c r="AJ86" s="72" t="n"/>
      <c r="AK86" s="7" t="inlineStr">
        <is>
          <t>COMPONENTES BEM FIXADOS E EM BOAS CONDIÇÕES</t>
        </is>
      </c>
      <c r="AL86" s="58">
        <f>IFERROR(CALCULOS!H81,"NECESSÁRIO REVISAR DATASHEET")</f>
        <v/>
      </c>
      <c r="AM8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6" s="64">
        <f>SUM(Tabela2[[#This Row],[Nota de Prioridade Quantitativa(NOTAS: 1 PIOR NOTA; 5 MELHOR NOTA)]],Tabela2[[#This Row],[Nota de Prioridade Qualitativa(NOTAS: 1 PIOR NOTA;  5 MELHOR NOTA)]])</f>
        <v/>
      </c>
      <c r="AO86" s="7" t="n">
        <v>152053</v>
      </c>
      <c r="AP86" s="64">
        <f>SUM(Tabela2[[#This Row],[Nota de Prioridade Quantitativa(NOTAS: 1 PIOR NOTA; 5 MELHOR NOTA)]],Tabela2[[#This Row],[Nota de Prioridade Qualitativa(NOTAS: 1 PIOR NOTA;  5 MELHOR NOTA)]])</f>
        <v/>
      </c>
      <c r="AQ86" s="7" t="n"/>
      <c r="AR86" s="64">
        <f>SUM(Tabela2[[#This Row],[Nota de Prioridade Quantitativa(NOTAS: 1 PIOR NOTA; 5 MELHOR NOTA)]],Tabela2[[#This Row],[Nota de Prioridade Qualitativa(NOTAS: 1 PIOR NOTA;  5 MELHOR NOTA)]])</f>
        <v/>
      </c>
      <c r="AS86" s="7" t="n"/>
      <c r="AZ86" s="20">
        <f t="array" ref="AZ86">StatusCarga(G86,H86,J86,K86)</f>
        <v/>
      </c>
      <c r="BA86" s="20">
        <f>IF(AZ86="CONFORME","CONFORME ✓","NÃO CONFORME ✗")</f>
        <v/>
      </c>
      <c r="BB86" t="n">
        <v>0</v>
      </c>
      <c r="BC86" t="n">
        <v>90</v>
      </c>
      <c r="BD86" t="n">
        <v>0</v>
      </c>
      <c r="BE86" t="n">
        <v>0</v>
      </c>
      <c r="BF86" t="inlineStr">
        <is>
          <t>CONFORME</t>
        </is>
      </c>
    </row>
    <row r="87" hidden="1" ht="21.75" customHeight="1" thickBot="1">
      <c r="A87" s="77" t="inlineStr">
        <is>
          <t>Mariana</t>
        </is>
      </c>
      <c r="B87" s="77" t="inlineStr">
        <is>
          <t>Fabrica Nova</t>
        </is>
      </c>
      <c r="C87" s="80" t="inlineStr">
        <is>
          <t>CA66549</t>
        </is>
      </c>
      <c r="D87" s="80" t="inlineStr">
        <is>
          <t>AFEX</t>
        </is>
      </c>
      <c r="E87" s="78" t="inlineStr">
        <is>
          <t>CATERPILLAR</t>
        </is>
      </c>
      <c r="F87" s="80" t="inlineStr">
        <is>
          <t>cat 789D</t>
        </is>
      </c>
      <c r="G87" s="81">
        <f>IFERROR(IF(F87=$AB$2,"",VLOOKUP(F87,'DATASHEET EQUIPAMENTOS'!D:N,2,FALSE)),"")</f>
        <v/>
      </c>
      <c r="H87" s="82" t="inlineStr">
        <is>
          <t>2x60lbs</t>
        </is>
      </c>
      <c r="I87" s="57">
        <f>_xlfn.XLOOKUP(Tabela2[[#This Row],[Modelo]],'DATASHEET EQUIPAMENTOS'!D:D,'DATASHEET EQUIPAMENTOS'!P:P,"",0,1)</f>
        <v/>
      </c>
      <c r="J87" s="81">
        <f>IF(F87=$Z$2,"",VLOOKUP(F87,'DATASHEET EQUIPAMENTOS'!D:N,3,FALSE))</f>
        <v/>
      </c>
      <c r="K87" s="85" t="inlineStr">
        <is>
          <t>2x5gal</t>
        </is>
      </c>
      <c r="L87" s="95">
        <f>IF(AZ87="CONFORME","CONFORME ✓","NÃO CONFORME ✗")</f>
        <v/>
      </c>
      <c r="M87" s="102">
        <f>IF(F87=$Z$2,"",VLOOKUP(F87,'DATASHEET EQUIPAMENTOS'!D:N,4,FALSE))</f>
        <v/>
      </c>
      <c r="N87" s="103" t="inlineStr">
        <is>
          <t>Linear</t>
        </is>
      </c>
      <c r="O87" s="102">
        <f>IF(F87=$Z$2,"",VLOOKUP(F87,'DATASHEET EQUIPAMENTOS'!D:N,5,FALSE))</f>
        <v/>
      </c>
      <c r="P87" s="103" t="n"/>
      <c r="Q87" s="102">
        <f>IF(F87=$Z$2,"",VLOOKUP(F87,'DATASHEET EQUIPAMENTOS'!D:N,6,FALSE))</f>
        <v/>
      </c>
      <c r="R87" s="104" t="n"/>
      <c r="S87" s="95">
        <f>IF(Tabela2[[#This Row],[Instalado Sensor Motor]]="Linear","CONFORME ✓",IF(SUM(M87,O87,Q87)&lt;SUM(N87,P87,R87),"CONFORME ✓",IF(SUM(M87,O87,Q87)=SUM(N87,P87,R87),"CONFORME ✓","NÃO CONFORME ✗")))</f>
        <v/>
      </c>
      <c r="T87" s="91">
        <f>IF(F87=$Z$2,"",VLOOKUP(F87,'DATASHEET EQUIPAMENTOS'!D:N,7,FALSE))</f>
        <v/>
      </c>
      <c r="U87" s="57" t="n">
        <v>14</v>
      </c>
      <c r="V87" s="56">
        <f>IF(F87=$Z$2,"",VLOOKUP(F87,'DATASHEET EQUIPAMENTOS'!D:N,8,FALSE))</f>
        <v/>
      </c>
      <c r="W87" s="57" t="n">
        <v>5</v>
      </c>
      <c r="X87" s="56">
        <f>IF(F87=$Z$2,"",VLOOKUP(F87,'DATASHEET EQUIPAMENTOS'!D:N,9,FALSE))</f>
        <v/>
      </c>
      <c r="Y87" s="57" t="n">
        <v>4</v>
      </c>
      <c r="Z87" s="57">
        <f>IF(SUM(T87,V87,X87)&lt;=SUM(U87,W87,Y87),"CONFORME ✓",IF(SUM(T87,V87,X87)&gt;SUM(U87,W87,Y87),"NÃO CONFORME ✗"))</f>
        <v/>
      </c>
      <c r="AA87" s="56">
        <f>IF(F87=$Z$2,"",VLOOKUP(F87,'DATASHEET EQUIPAMENTOS'!D:N,10,FALSE))</f>
        <v/>
      </c>
      <c r="AB87" s="57" t="n">
        <v>3</v>
      </c>
      <c r="AC87" s="56">
        <f>IF(F87=$Z$2,"",VLOOKUP(F87,'DATASHEET EQUIPAMENTOS'!D:N,11,FALSE))</f>
        <v/>
      </c>
      <c r="AD87" s="57" t="n">
        <v>1</v>
      </c>
      <c r="AE87" s="56">
        <f>IF(F87=$Z$2,"",VLOOKUP(F87,'DATASHEET EQUIPAMENTOS'!D:O,12,FALSE))</f>
        <v/>
      </c>
      <c r="AF87" s="57" t="n"/>
      <c r="AG87" s="57">
        <f>IF(SUM(AA87,AC87,AE87)&lt;=SUM(AB87,AD87,AF87),"CONFORME ✓",IF(SUM(AA87,AC87,AE87)&gt;SUM(AB87,AD87,AF87),"NÃO CONFORME ✗"))</f>
        <v/>
      </c>
      <c r="AH87" s="72" t="n">
        <v>2.5</v>
      </c>
      <c r="AI87" s="72" t="n">
        <v>4</v>
      </c>
      <c r="AJ87" s="72" t="n">
        <v>5</v>
      </c>
      <c r="AK87" s="7" t="inlineStr">
        <is>
          <t>REFAZER O CABEAMENTO DO CABO SENSOR COM FIXAÇÕES ADEQUADAS</t>
        </is>
      </c>
      <c r="AL87" s="58">
        <f>IFERROR(CALCULOS!H82,"NECESSÁRIO REVISAR DATASHEET")</f>
        <v/>
      </c>
      <c r="AM8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7" s="64">
        <f>SUM(Tabela2[[#This Row],[Nota de Prioridade Quantitativa(NOTAS: 1 PIOR NOTA; 5 MELHOR NOTA)]],Tabela2[[#This Row],[Nota de Prioridade Qualitativa(NOTAS: 1 PIOR NOTA;  5 MELHOR NOTA)]])</f>
        <v/>
      </c>
      <c r="AO87" s="7" t="n">
        <v>152832</v>
      </c>
      <c r="AP87" s="64">
        <f>SUM(Tabela2[[#This Row],[Nota de Prioridade Quantitativa(NOTAS: 1 PIOR NOTA; 5 MELHOR NOTA)]],Tabela2[[#This Row],[Nota de Prioridade Qualitativa(NOTAS: 1 PIOR NOTA;  5 MELHOR NOTA)]])</f>
        <v/>
      </c>
      <c r="AQ87" s="7" t="inlineStr">
        <is>
          <t>RETORNAR NO EQUIPAMENTO</t>
        </is>
      </c>
      <c r="AR87" s="64">
        <f>SUM(Tabela2[[#This Row],[Nota de Prioridade Quantitativa(NOTAS: 1 PIOR NOTA; 5 MELHOR NOTA)]],Tabela2[[#This Row],[Nota de Prioridade Qualitativa(NOTAS: 1 PIOR NOTA;  5 MELHOR NOTA)]])</f>
        <v/>
      </c>
      <c r="AS87" s="7" t="n"/>
      <c r="AZ87" s="20">
        <f t="array" ref="AZ87">StatusCarga(G87,H87,J87,K87)</f>
        <v/>
      </c>
      <c r="BA87" s="20">
        <f>IF(AZ87="CONFORME","CONFORME ✓","NÃO CONFORME ✗")</f>
        <v/>
      </c>
      <c r="BB87" t="n">
        <v>0</v>
      </c>
      <c r="BC87" t="n">
        <v>120</v>
      </c>
      <c r="BD87" t="n">
        <v>0</v>
      </c>
      <c r="BE87" t="n">
        <v>10</v>
      </c>
      <c r="BF87" t="inlineStr">
        <is>
          <t>CONFORME</t>
        </is>
      </c>
    </row>
    <row r="88" hidden="1" ht="21.75" customHeight="1" thickBot="1">
      <c r="A88" s="77" t="inlineStr">
        <is>
          <t>Paraoupeba</t>
        </is>
      </c>
      <c r="B88" s="77" t="inlineStr">
        <is>
          <t>Fábrica</t>
        </is>
      </c>
      <c r="C88" s="80" t="inlineStr">
        <is>
          <t>CA5379</t>
        </is>
      </c>
      <c r="D88" s="80" t="inlineStr">
        <is>
          <t>KIDDE</t>
        </is>
      </c>
      <c r="E88" s="78" t="inlineStr">
        <is>
          <t>CATERPILLAR</t>
        </is>
      </c>
      <c r="F88" s="80" t="inlineStr">
        <is>
          <t>CAT 777G</t>
        </is>
      </c>
      <c r="G88" s="81">
        <f>IFERROR(IF(F88=$AB$2,"",VLOOKUP(F88,'DATASHEET EQUIPAMENTOS'!D:N,2,FALSE)),"")</f>
        <v/>
      </c>
      <c r="H88" s="82" t="inlineStr">
        <is>
          <t>2x50lbs</t>
        </is>
      </c>
      <c r="I88" s="57">
        <f>_xlfn.XLOOKUP(Tabela2[[#This Row],[Modelo]],'DATASHEET EQUIPAMENTOS'!D:D,'DATASHEET EQUIPAMENTOS'!P:P,"",0,1)</f>
        <v/>
      </c>
      <c r="J88" s="81">
        <f>IF(F88=$Z$2,"",VLOOKUP(F88,'DATASHEET EQUIPAMENTOS'!D:N,3,FALSE))</f>
        <v/>
      </c>
      <c r="K88" s="85" t="inlineStr">
        <is>
          <t>1x5gal</t>
        </is>
      </c>
      <c r="L88" s="95">
        <f>IF(AZ88="CONFORME","CONFORME ✓","NÃO CONFORME ✗")</f>
        <v/>
      </c>
      <c r="M88" s="102">
        <f>IF(F88=$Z$2,"",VLOOKUP(F88,'DATASHEET EQUIPAMENTOS'!D:N,4,FALSE))</f>
        <v/>
      </c>
      <c r="N88" s="103" t="inlineStr">
        <is>
          <t>Linear</t>
        </is>
      </c>
      <c r="O88" s="102">
        <f>IF(F88=$Z$2,"",VLOOKUP(F88,'DATASHEET EQUIPAMENTOS'!D:N,5,FALSE))</f>
        <v/>
      </c>
      <c r="P88" s="103" t="n"/>
      <c r="Q88" s="102">
        <f>IF(F88=$Z$2,"",VLOOKUP(F88,'DATASHEET EQUIPAMENTOS'!D:N,6,FALSE))</f>
        <v/>
      </c>
      <c r="R88" s="104" t="n"/>
      <c r="S88" s="95">
        <f>IF(Tabela2[[#This Row],[Instalado Sensor Motor]]="Linear","CONFORME ✓",IF(SUM(M88,O88,Q88)&lt;SUM(N88,P88,R88),"CONFORME ✓",IF(SUM(M88,O88,Q88)=SUM(N88,P88,R88),"CONFORME ✓","NÃO CONFORME ✗")))</f>
        <v/>
      </c>
      <c r="T88" s="91">
        <f>IF(F88=$Z$2,"",VLOOKUP(F88,'DATASHEET EQUIPAMENTOS'!D:N,7,FALSE))</f>
        <v/>
      </c>
      <c r="U88" s="57" t="n">
        <v>8</v>
      </c>
      <c r="V88" s="56">
        <f>IF(F88=$Z$2,"",VLOOKUP(F88,'DATASHEET EQUIPAMENTOS'!D:N,8,FALSE))</f>
        <v/>
      </c>
      <c r="W88" s="57" t="n">
        <v>8</v>
      </c>
      <c r="X88" s="56">
        <f>IF(F88=$Z$2,"",VLOOKUP(F88,'DATASHEET EQUIPAMENTOS'!D:N,9,FALSE))</f>
        <v/>
      </c>
      <c r="Y88" s="57" t="n">
        <v>0</v>
      </c>
      <c r="Z88" s="57">
        <f>IF(SUM(T88,V88,X88)&lt;=SUM(U88,W88,Y88),"CONFORME ✓",IF(SUM(T88,V88,X88)&gt;SUM(U88,W88,Y88),"NÃO CONFORME ✗"))</f>
        <v/>
      </c>
      <c r="AA88" s="56">
        <f>IF(F88=$Z$2,"",VLOOKUP(F88,'DATASHEET EQUIPAMENTOS'!D:N,10,FALSE))</f>
        <v/>
      </c>
      <c r="AB88" s="57" t="n">
        <v>4</v>
      </c>
      <c r="AC88" s="56">
        <f>IF(F88=$Z$2,"",VLOOKUP(F88,'DATASHEET EQUIPAMENTOS'!D:N,11,FALSE))</f>
        <v/>
      </c>
      <c r="AD88" s="57" t="n"/>
      <c r="AE88" s="56">
        <f>IF(F88=$Z$2,"",VLOOKUP(F88,'DATASHEET EQUIPAMENTOS'!D:O,12,FALSE))</f>
        <v/>
      </c>
      <c r="AF88" s="57" t="n"/>
      <c r="AG88" s="57">
        <f>IF(SUM(AA88,AC88,AE88)&lt;=SUM(AB88,AD88,AF88),"CONFORME ✓",IF(SUM(AA88,AC88,AE88)&gt;SUM(AB88,AD88,AF88),"NÃO CONFORME ✗"))</f>
        <v/>
      </c>
      <c r="AH88" s="72" t="n">
        <v>2</v>
      </c>
      <c r="AI88" s="72" t="n">
        <v>2</v>
      </c>
      <c r="AJ88" s="72" t="n">
        <v>4</v>
      </c>
      <c r="AK88" s="7" t="inlineStr">
        <is>
          <t>ADEQUAR FIXAÇÃO DOS CABOS LINEAR; ADEQUAR QUANTIDADE DE BICOS PQS; DEFINIR LOCAL DE INSTAÇÃO DO ACIONADOR DA CABINE E REPOSICIONAR SE NECESSARIO</t>
        </is>
      </c>
      <c r="AL88" s="58">
        <f>IFERROR(CALCULOS!H83,"NECESSÁRIO REVISAR DATASHEET")</f>
        <v/>
      </c>
      <c r="AM8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8" s="64">
        <f>SUM(Tabela2[[#This Row],[Nota de Prioridade Quantitativa(NOTAS: 1 PIOR NOTA; 5 MELHOR NOTA)]],Tabela2[[#This Row],[Nota de Prioridade Qualitativa(NOTAS: 1 PIOR NOTA;  5 MELHOR NOTA)]])</f>
        <v/>
      </c>
      <c r="AO88" s="7" t="n">
        <v>151705</v>
      </c>
      <c r="AP88" s="64">
        <f>SUM(Tabela2[[#This Row],[Nota de Prioridade Quantitativa(NOTAS: 1 PIOR NOTA; 5 MELHOR NOTA)]],Tabela2[[#This Row],[Nota de Prioridade Qualitativa(NOTAS: 1 PIOR NOTA;  5 MELHOR NOTA)]])</f>
        <v/>
      </c>
      <c r="AQ88" s="7" t="n"/>
      <c r="AR88" s="64">
        <f>SUM(Tabela2[[#This Row],[Nota de Prioridade Quantitativa(NOTAS: 1 PIOR NOTA; 5 MELHOR NOTA)]],Tabela2[[#This Row],[Nota de Prioridade Qualitativa(NOTAS: 1 PIOR NOTA;  5 MELHOR NOTA)]])</f>
        <v/>
      </c>
      <c r="AS88" s="7" t="n"/>
      <c r="AZ88" s="20">
        <f t="array" ref="AZ88">StatusCarga(G88,H88,J88,K88)</f>
        <v/>
      </c>
      <c r="BA88" s="20">
        <f>IF(AZ88="CONFORME","CONFORME ✓","NÃO CONFORME ✗")</f>
        <v/>
      </c>
      <c r="BB88" t="n">
        <v>0</v>
      </c>
      <c r="BC88" t="n">
        <v>100</v>
      </c>
      <c r="BD88" t="n">
        <v>0</v>
      </c>
      <c r="BE88" t="n">
        <v>5</v>
      </c>
      <c r="BF88" t="inlineStr">
        <is>
          <t>CONFORME</t>
        </is>
      </c>
    </row>
    <row r="89" hidden="1" ht="21.75" customHeight="1" thickBot="1">
      <c r="A89" s="77" t="inlineStr">
        <is>
          <t>Paraoupeba</t>
        </is>
      </c>
      <c r="B89" s="77" t="inlineStr">
        <is>
          <t>Fábrica</t>
        </is>
      </c>
      <c r="C89" s="80" t="inlineStr">
        <is>
          <t>CA5422</t>
        </is>
      </c>
      <c r="D89" s="80" t="inlineStr">
        <is>
          <t>AFEX</t>
        </is>
      </c>
      <c r="E89" s="78" t="inlineStr">
        <is>
          <t>CATERPILLAR</t>
        </is>
      </c>
      <c r="F89" s="80" t="inlineStr">
        <is>
          <t>cat 785C</t>
        </is>
      </c>
      <c r="G89" s="81">
        <f>IFERROR(IF(F89=$AB$2,"",VLOOKUP(F89,'DATASHEET EQUIPAMENTOS'!D:N,2,FALSE)),"")</f>
        <v/>
      </c>
      <c r="H89" s="82" t="inlineStr">
        <is>
          <t>3x30lbs</t>
        </is>
      </c>
      <c r="I89" s="57">
        <f>_xlfn.XLOOKUP(Tabela2[[#This Row],[Modelo]],'DATASHEET EQUIPAMENTOS'!D:D,'DATASHEET EQUIPAMENTOS'!P:P,"",0,1)</f>
        <v/>
      </c>
      <c r="J89" s="81">
        <f>IF(F89=$Z$2,"",VLOOKUP(F89,'DATASHEET EQUIPAMENTOS'!D:N,3,FALSE))</f>
        <v/>
      </c>
      <c r="K89" s="85" t="inlineStr">
        <is>
          <t>1x5gal</t>
        </is>
      </c>
      <c r="L89" s="95">
        <f>IF(AZ89="CONFORME","CONFORME ✓","NÃO CONFORME ✗")</f>
        <v/>
      </c>
      <c r="M89" s="102">
        <f>IF(F89=$Z$2,"",VLOOKUP(F89,'DATASHEET EQUIPAMENTOS'!D:N,4,FALSE))</f>
        <v/>
      </c>
      <c r="N89" s="103" t="n">
        <v>5</v>
      </c>
      <c r="O89" s="102">
        <f>IF(F89=$Z$2,"",VLOOKUP(F89,'DATASHEET EQUIPAMENTOS'!D:N,5,FALSE))</f>
        <v/>
      </c>
      <c r="P89" s="103" t="n">
        <v>1</v>
      </c>
      <c r="Q89" s="102">
        <f>IF(F89=$Z$2,"",VLOOKUP(F89,'DATASHEET EQUIPAMENTOS'!D:N,6,FALSE))</f>
        <v/>
      </c>
      <c r="R89" s="104" t="n">
        <v>2</v>
      </c>
      <c r="S89" s="95">
        <f>IF(Tabela2[[#This Row],[Instalado Sensor Motor]]="Linear","CONFORME ✓",IF(SUM(M89,O89,Q89)&lt;SUM(N89,P89,R89),"CONFORME ✓",IF(SUM(M89,O89,Q89)=SUM(N89,P89,R89),"CONFORME ✓","NÃO CONFORME ✗")))</f>
        <v/>
      </c>
      <c r="T89" s="91">
        <f>IF(F89=$Z$2,"",VLOOKUP(F89,'DATASHEET EQUIPAMENTOS'!D:N,7,FALSE))</f>
        <v/>
      </c>
      <c r="U89" s="57" t="n">
        <v>12</v>
      </c>
      <c r="V89" s="56">
        <f>IF(F89=$Z$2,"",VLOOKUP(F89,'DATASHEET EQUIPAMENTOS'!D:N,8,FALSE))</f>
        <v/>
      </c>
      <c r="W89" s="57" t="n"/>
      <c r="X89" s="56">
        <f>IF(F89=$Z$2,"",VLOOKUP(F89,'DATASHEET EQUIPAMENTOS'!D:N,9,FALSE))</f>
        <v/>
      </c>
      <c r="Y89" s="57" t="n">
        <v>6</v>
      </c>
      <c r="Z89" s="57">
        <f>IF(SUM(T89,V89,X89)&lt;=SUM(U89,W89,Y89),"CONFORME ✓",IF(SUM(T89,V89,X89)&gt;SUM(U89,W89,Y89),"NÃO CONFORME ✗"))</f>
        <v/>
      </c>
      <c r="AA89" s="56">
        <f>IF(F89=$Z$2,"",VLOOKUP(F89,'DATASHEET EQUIPAMENTOS'!D:N,10,FALSE))</f>
        <v/>
      </c>
      <c r="AB89" s="57" t="n">
        <v>4</v>
      </c>
      <c r="AC89" s="56">
        <f>IF(F89=$Z$2,"",VLOOKUP(F89,'DATASHEET EQUIPAMENTOS'!D:N,11,FALSE))</f>
        <v/>
      </c>
      <c r="AD89" s="57" t="n"/>
      <c r="AE89" s="56">
        <f>IF(F89=$Z$2,"",VLOOKUP(F89,'DATASHEET EQUIPAMENTOS'!D:O,12,FALSE))</f>
        <v/>
      </c>
      <c r="AF89" s="57" t="n"/>
      <c r="AG89" s="57">
        <f>IF(SUM(AA89,AC89,AE89)&lt;=SUM(AB89,AD89,AF89),"CONFORME ✓",IF(SUM(AA89,AC89,AE89)&gt;SUM(AB89,AD89,AF89),"NÃO CONFORME ✗"))</f>
        <v/>
      </c>
      <c r="AH89" s="72" t="n">
        <v>2.5</v>
      </c>
      <c r="AI89" s="72" t="n">
        <v>2.5</v>
      </c>
      <c r="AJ89" s="72" t="n">
        <v>2.5</v>
      </c>
      <c r="AK89" s="7" t="inlineStr">
        <is>
          <t>REFAZER ROTAS E FIXAÇÕES DOS CABEAMENTOS DOS SENSORES E MANGUEIRAS; DEFINIR POSICIONAMENTO DE PAINEL E ATUADOR SE NECESSÁRIO ALTERAR POSICIONAMENTO</t>
        </is>
      </c>
      <c r="AL89" s="58">
        <f>IFERROR(CALCULOS!H84,"NECESSÁRIO REVISAR DATASHEET")</f>
        <v/>
      </c>
      <c r="AM8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89" s="64">
        <f>SUM(Tabela2[[#This Row],[Nota de Prioridade Quantitativa(NOTAS: 1 PIOR NOTA; 5 MELHOR NOTA)]],Tabela2[[#This Row],[Nota de Prioridade Qualitativa(NOTAS: 1 PIOR NOTA;  5 MELHOR NOTA)]])</f>
        <v/>
      </c>
      <c r="AO89" s="7" t="n">
        <v>152831</v>
      </c>
      <c r="AP89" s="64">
        <f>SUM(Tabela2[[#This Row],[Nota de Prioridade Quantitativa(NOTAS: 1 PIOR NOTA; 5 MELHOR NOTA)]],Tabela2[[#This Row],[Nota de Prioridade Qualitativa(NOTAS: 1 PIOR NOTA;  5 MELHOR NOTA)]])</f>
        <v/>
      </c>
      <c r="AQ89" s="7" t="n"/>
      <c r="AR89" s="64">
        <f>SUM(Tabela2[[#This Row],[Nota de Prioridade Quantitativa(NOTAS: 1 PIOR NOTA; 5 MELHOR NOTA)]],Tabela2[[#This Row],[Nota de Prioridade Qualitativa(NOTAS: 1 PIOR NOTA;  5 MELHOR NOTA)]])</f>
        <v/>
      </c>
      <c r="AS89" s="7" t="n"/>
      <c r="AZ89" s="20">
        <f t="array" ref="AZ89">StatusCarga(G89,H89,J89,K89)</f>
        <v/>
      </c>
      <c r="BA89" s="20">
        <f>IF(AZ89="CONFORME","CONFORME ✓","NÃO CONFORME ✗")</f>
        <v/>
      </c>
      <c r="BB89" t="n">
        <v>0</v>
      </c>
      <c r="BC89" t="n">
        <v>90</v>
      </c>
      <c r="BD89" t="n">
        <v>0</v>
      </c>
      <c r="BE89" t="n">
        <v>5</v>
      </c>
      <c r="BF89" t="inlineStr">
        <is>
          <t>CONFORME</t>
        </is>
      </c>
    </row>
    <row r="90" hidden="1" ht="21.75" customHeight="1" thickBot="1">
      <c r="A90" s="77" t="inlineStr">
        <is>
          <t>Mariana</t>
        </is>
      </c>
      <c r="B90" s="77" t="inlineStr">
        <is>
          <t>Fazendão</t>
        </is>
      </c>
      <c r="C90" s="80" t="inlineStr">
        <is>
          <t>PE3504</t>
        </is>
      </c>
      <c r="D90" s="80" t="inlineStr">
        <is>
          <t>AFEX</t>
        </is>
      </c>
      <c r="E90" s="80" t="inlineStr">
        <is>
          <t>LETORNEAU</t>
        </is>
      </c>
      <c r="F90" s="80" t="inlineStr">
        <is>
          <t>LeTourneau L1350II</t>
        </is>
      </c>
      <c r="G90" s="81">
        <f>IFERROR(IF(F90=$AB$2,"",VLOOKUP(F90,'DATASHEET EQUIPAMENTOS'!D:N,2,FALSE)),"")</f>
        <v/>
      </c>
      <c r="H90" s="82" t="inlineStr">
        <is>
          <t>1x30lbs + 3x60lbs</t>
        </is>
      </c>
      <c r="I90" s="57">
        <f>_xlfn.XLOOKUP(Tabela2[[#This Row],[Modelo]],'DATASHEET EQUIPAMENTOS'!D:D,'DATASHEET EQUIPAMENTOS'!P:P,"",0,1)</f>
        <v/>
      </c>
      <c r="J90" s="81">
        <f>IF(F90=$Z$2,"",VLOOKUP(F90,'DATASHEET EQUIPAMENTOS'!D:N,3,FALSE))</f>
        <v/>
      </c>
      <c r="K90" s="85" t="inlineStr">
        <is>
          <t>2x5gal</t>
        </is>
      </c>
      <c r="L90" s="95">
        <f>IF(AZ90="CONFORME","CONFORME ✓","NÃO CONFORME ✗")</f>
        <v/>
      </c>
      <c r="M90" s="102">
        <f>IF(F90=$Z$2,"",VLOOKUP(F90,'DATASHEET EQUIPAMENTOS'!D:N,4,FALSE))</f>
        <v/>
      </c>
      <c r="N90" s="103" t="n">
        <v>4</v>
      </c>
      <c r="O90" s="102">
        <f>IF(F90=$Z$2,"",VLOOKUP(F90,'DATASHEET EQUIPAMENTOS'!D:N,5,FALSE))</f>
        <v/>
      </c>
      <c r="P90" s="103" t="n">
        <v>4</v>
      </c>
      <c r="Q90" s="102">
        <f>IF(F90=$Z$2,"",VLOOKUP(F90,'DATASHEET EQUIPAMENTOS'!D:N,6,FALSE))</f>
        <v/>
      </c>
      <c r="R90" s="104" t="n">
        <v>2</v>
      </c>
      <c r="S90" s="95">
        <f>IF(Tabela2[[#This Row],[Instalado Sensor Motor]]="Linear","CONFORME ✓",IF(SUM(M90,O90,Q90)&lt;SUM(N90,P90,R90),"CONFORME ✓",IF(SUM(M90,O90,Q90)=SUM(N90,P90,R90),"CONFORME ✓","NÃO CONFORME ✗")))</f>
        <v/>
      </c>
      <c r="T90" s="91">
        <f>IF(F90=$Z$2,"",VLOOKUP(F90,'DATASHEET EQUIPAMENTOS'!D:N,7,FALSE))</f>
        <v/>
      </c>
      <c r="U90" s="57" t="n">
        <v>18</v>
      </c>
      <c r="V90" s="56">
        <f>IF(F90=$Z$2,"",VLOOKUP(F90,'DATASHEET EQUIPAMENTOS'!D:N,8,FALSE))</f>
        <v/>
      </c>
      <c r="W90" s="57" t="n">
        <v>12</v>
      </c>
      <c r="X90" s="56">
        <f>IF(F90=$Z$2,"",VLOOKUP(F90,'DATASHEET EQUIPAMENTOS'!D:N,9,FALSE))</f>
        <v/>
      </c>
      <c r="Y90" s="57" t="n">
        <v>12</v>
      </c>
      <c r="Z90" s="57">
        <f>IF(SUM(T90,V90,X90)&lt;=SUM(U90,W90,Y90),"CONFORME ✓",IF(SUM(T90,V90,X90)&gt;SUM(U90,W90,Y90),"NÃO CONFORME ✗"))</f>
        <v/>
      </c>
      <c r="AA90" s="56">
        <f>IF(F90=$Z$2,"",VLOOKUP(F90,'DATASHEET EQUIPAMENTOS'!D:N,10,FALSE))</f>
        <v/>
      </c>
      <c r="AB90" s="57" t="n">
        <v>4</v>
      </c>
      <c r="AC90" s="56">
        <f>IF(F90=$Z$2,"",VLOOKUP(F90,'DATASHEET EQUIPAMENTOS'!D:N,11,FALSE))</f>
        <v/>
      </c>
      <c r="AD90" s="57" t="n"/>
      <c r="AE90" s="56">
        <f>IF(F90=$Z$2,"",VLOOKUP(F90,'DATASHEET EQUIPAMENTOS'!D:O,12,FALSE))</f>
        <v/>
      </c>
      <c r="AF90" s="57" t="n">
        <v>6</v>
      </c>
      <c r="AG90" s="57">
        <f>IF(SUM(AA90,AC90,AE90)&lt;=SUM(AB90,AD90,AF90),"CONFORME ✓",IF(SUM(AA90,AC90,AE90)&gt;SUM(AB90,AD90,AF90),"NÃO CONFORME ✗"))</f>
        <v/>
      </c>
      <c r="AH90" s="72" t="n"/>
      <c r="AI90" s="72" t="n"/>
      <c r="AJ90" s="72" t="n"/>
      <c r="AK90" s="7" t="inlineStr">
        <is>
          <t>SISTEMA EM BOM ESTADO</t>
        </is>
      </c>
      <c r="AL90" s="58">
        <f>IFERROR(CALCULOS!H85,"NECESSÁRIO REVISAR DATASHEET")</f>
        <v/>
      </c>
      <c r="AM9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0" s="64">
        <f>SUM(Tabela2[[#This Row],[Nota de Prioridade Quantitativa(NOTAS: 1 PIOR NOTA; 5 MELHOR NOTA)]],Tabela2[[#This Row],[Nota de Prioridade Qualitativa(NOTAS: 1 PIOR NOTA;  5 MELHOR NOTA)]])</f>
        <v/>
      </c>
      <c r="AO90" s="7" t="n">
        <v>151972</v>
      </c>
      <c r="AP90" s="64">
        <f>SUM(Tabela2[[#This Row],[Nota de Prioridade Quantitativa(NOTAS: 1 PIOR NOTA; 5 MELHOR NOTA)]],Tabela2[[#This Row],[Nota de Prioridade Qualitativa(NOTAS: 1 PIOR NOTA;  5 MELHOR NOTA)]])</f>
        <v/>
      </c>
      <c r="AQ90" s="7" t="n"/>
      <c r="AR90" s="64">
        <f>SUM(Tabela2[[#This Row],[Nota de Prioridade Quantitativa(NOTAS: 1 PIOR NOTA; 5 MELHOR NOTA)]],Tabela2[[#This Row],[Nota de Prioridade Qualitativa(NOTAS: 1 PIOR NOTA;  5 MELHOR NOTA)]])</f>
        <v/>
      </c>
      <c r="AS90" s="7" t="n"/>
      <c r="AZ90" s="20">
        <f t="array" ref="AZ90">StatusCarga(G90,H90,J90,K90)</f>
        <v/>
      </c>
      <c r="BA90" s="20">
        <f>IF(AZ90="CONFORME","CONFORME ✓","NÃO CONFORME ✗")</f>
        <v/>
      </c>
      <c r="BB90" t="n">
        <v>0</v>
      </c>
      <c r="BC90" t="n">
        <v>210</v>
      </c>
      <c r="BD90" t="n">
        <v>0</v>
      </c>
      <c r="BE90" t="n">
        <v>10</v>
      </c>
      <c r="BF90" t="inlineStr">
        <is>
          <t>CONFORME</t>
        </is>
      </c>
    </row>
    <row r="91" hidden="1" ht="21.75" customHeight="1" thickBot="1">
      <c r="A91" s="77" t="inlineStr">
        <is>
          <t>VGR</t>
        </is>
      </c>
      <c r="B91" s="77" t="inlineStr">
        <is>
          <t>Aboboras</t>
        </is>
      </c>
      <c r="C91" s="80" t="inlineStr">
        <is>
          <t>PF1110</t>
        </is>
      </c>
      <c r="D91" s="80" t="inlineStr">
        <is>
          <t>KIDDE</t>
        </is>
      </c>
      <c r="E91" s="78" t="inlineStr">
        <is>
          <t>CATERPILLAR</t>
        </is>
      </c>
      <c r="F91" s="80" t="inlineStr">
        <is>
          <t>CAT MD6290</t>
        </is>
      </c>
      <c r="G91" s="81">
        <f>IFERROR(IF(F91=$AB$2,"",VLOOKUP(F91,'DATASHEET EQUIPAMENTOS'!D:N,2,FALSE)),"")</f>
        <v/>
      </c>
      <c r="H91" s="82" t="inlineStr">
        <is>
          <t>2x68lbs</t>
        </is>
      </c>
      <c r="I91" s="57">
        <f>_xlfn.XLOOKUP(Tabela2[[#This Row],[Modelo]],'DATASHEET EQUIPAMENTOS'!D:D,'DATASHEET EQUIPAMENTOS'!P:P,"",0,1)</f>
        <v/>
      </c>
      <c r="J91" s="81">
        <f>IF(F91=$Z$2,"",VLOOKUP(F91,'DATASHEET EQUIPAMENTOS'!D:N,3,FALSE))</f>
        <v/>
      </c>
      <c r="K91" s="85" t="inlineStr">
        <is>
          <t>2x15gal</t>
        </is>
      </c>
      <c r="L91" s="95">
        <f>IF(AZ91="CONFORME","CONFORME ✓","NÃO CONFORME ✗")</f>
        <v/>
      </c>
      <c r="M91" s="102">
        <f>IF(F91=$Z$2,"",VLOOKUP(F91,'DATASHEET EQUIPAMENTOS'!D:N,4,FALSE))</f>
        <v/>
      </c>
      <c r="N91" s="103" t="inlineStr">
        <is>
          <t>Linear</t>
        </is>
      </c>
      <c r="O91" s="102">
        <f>IF(F91=$Z$2,"",VLOOKUP(F91,'DATASHEET EQUIPAMENTOS'!D:N,5,FALSE))</f>
        <v/>
      </c>
      <c r="P91" s="103" t="n"/>
      <c r="Q91" s="102">
        <f>IF(F91=$Z$2,"",VLOOKUP(F91,'DATASHEET EQUIPAMENTOS'!D:N,6,FALSE))</f>
        <v/>
      </c>
      <c r="R91" s="104" t="n"/>
      <c r="S91" s="95">
        <f>IF(Tabela2[[#This Row],[Instalado Sensor Motor]]="Linear","CONFORME ✓",IF(SUM(M91,O91,Q91)&lt;SUM(N91,P91,R91),"CONFORME ✓",IF(SUM(M91,O91,Q91)=SUM(N91,P91,R91),"CONFORME ✓","NÃO CONFORME ✗")))</f>
        <v/>
      </c>
      <c r="T91" s="91">
        <f>IF(F91=$Z$2,"",VLOOKUP(F91,'DATASHEET EQUIPAMENTOS'!D:N,7,FALSE))</f>
        <v/>
      </c>
      <c r="U91" s="57" t="n">
        <v>14</v>
      </c>
      <c r="V91" s="56">
        <f>IF(F91=$Z$2,"",VLOOKUP(F91,'DATASHEET EQUIPAMENTOS'!D:N,8,FALSE))</f>
        <v/>
      </c>
      <c r="W91" s="57" t="n">
        <v>4</v>
      </c>
      <c r="X91" s="56">
        <f>IF(F91=$Z$2,"",VLOOKUP(F91,'DATASHEET EQUIPAMENTOS'!D:N,9,FALSE))</f>
        <v/>
      </c>
      <c r="Y91" s="57" t="n">
        <v>4</v>
      </c>
      <c r="Z91" s="57">
        <f>IF(SUM(T91,V91,X91)&lt;=SUM(U91,W91,Y91),"CONFORME ✓",IF(SUM(T91,V91,X91)&gt;SUM(U91,W91,Y91),"NÃO CONFORME ✗"))</f>
        <v/>
      </c>
      <c r="AA91" s="56">
        <f>IF(F91=$Z$2,"",VLOOKUP(F91,'DATASHEET EQUIPAMENTOS'!D:N,10,FALSE))</f>
        <v/>
      </c>
      <c r="AB91" s="57" t="n">
        <v>6</v>
      </c>
      <c r="AC91" s="56">
        <f>IF(F91=$Z$2,"",VLOOKUP(F91,'DATASHEET EQUIPAMENTOS'!D:N,11,FALSE))</f>
        <v/>
      </c>
      <c r="AD91" s="57" t="n">
        <v>4</v>
      </c>
      <c r="AE91" s="56">
        <f>IF(F91=$Z$2,"",VLOOKUP(F91,'DATASHEET EQUIPAMENTOS'!D:O,12,FALSE))</f>
        <v/>
      </c>
      <c r="AF91" s="57" t="n"/>
      <c r="AG91" s="57">
        <f>IF(SUM(AA91,AC91,AE91)&lt;=SUM(AB91,AD91,AF91),"CONFORME ✓",IF(SUM(AA91,AC91,AE91)&gt;SUM(AB91,AD91,AF91),"NÃO CONFORME ✗"))</f>
        <v/>
      </c>
      <c r="AH91" s="72" t="n">
        <v>3.5</v>
      </c>
      <c r="AI91" s="72" t="n">
        <v>4</v>
      </c>
      <c r="AJ91" s="72" t="n">
        <v>5</v>
      </c>
      <c r="AK91" s="7" t="inlineStr">
        <is>
          <t>REPOSICIONAR CABO LINEAR LHS</t>
        </is>
      </c>
      <c r="AL91" s="58">
        <f>IFERROR(CALCULOS!H86,"NECESSÁRIO REVISAR DATASHEET")</f>
        <v/>
      </c>
      <c r="AM9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1" s="64">
        <f>SUM(Tabela2[[#This Row],[Nota de Prioridade Quantitativa(NOTAS: 1 PIOR NOTA; 5 MELHOR NOTA)]],Tabela2[[#This Row],[Nota de Prioridade Qualitativa(NOTAS: 1 PIOR NOTA;  5 MELHOR NOTA)]])</f>
        <v/>
      </c>
      <c r="AO91" s="7" t="n">
        <v>151281</v>
      </c>
      <c r="AP91" s="64">
        <f>SUM(Tabela2[[#This Row],[Nota de Prioridade Quantitativa(NOTAS: 1 PIOR NOTA; 5 MELHOR NOTA)]],Tabela2[[#This Row],[Nota de Prioridade Qualitativa(NOTAS: 1 PIOR NOTA;  5 MELHOR NOTA)]])</f>
        <v/>
      </c>
      <c r="AQ91" s="7" t="n"/>
      <c r="AR91" s="64">
        <f>SUM(Tabela2[[#This Row],[Nota de Prioridade Quantitativa(NOTAS: 1 PIOR NOTA; 5 MELHOR NOTA)]],Tabela2[[#This Row],[Nota de Prioridade Qualitativa(NOTAS: 1 PIOR NOTA;  5 MELHOR NOTA)]])</f>
        <v/>
      </c>
      <c r="AS91" s="7" t="n"/>
      <c r="AZ91" s="20">
        <f t="array" ref="AZ91">StatusCarga(G91,H91,J91,K91)</f>
        <v/>
      </c>
      <c r="BA91" s="20">
        <f>IF(AZ91="CONFORME","CONFORME ✓","NÃO CONFORME ✗")</f>
        <v/>
      </c>
      <c r="BB91" t="n">
        <v>0</v>
      </c>
      <c r="BC91" t="n">
        <v>136</v>
      </c>
      <c r="BD91" t="n">
        <v>0</v>
      </c>
      <c r="BE91" t="n">
        <v>30</v>
      </c>
      <c r="BF91" t="inlineStr">
        <is>
          <t>CONFORME</t>
        </is>
      </c>
    </row>
    <row r="92" hidden="1" ht="21.75" customHeight="1" thickBot="1">
      <c r="A92" s="77" t="inlineStr">
        <is>
          <t>Paraoupeba</t>
        </is>
      </c>
      <c r="B92" s="77" t="inlineStr">
        <is>
          <t>Fábrica</t>
        </is>
      </c>
      <c r="C92" s="80" t="inlineStr">
        <is>
          <t>CA5467</t>
        </is>
      </c>
      <c r="D92" s="80" t="inlineStr">
        <is>
          <t>AFEX</t>
        </is>
      </c>
      <c r="E92" s="78" t="inlineStr">
        <is>
          <t>CATERPILLAR</t>
        </is>
      </c>
      <c r="F92" s="80" t="inlineStr">
        <is>
          <t>cat 785C</t>
        </is>
      </c>
      <c r="G92" s="81">
        <f>IFERROR(IF(F92=$AB$2,"",VLOOKUP(F92,'DATASHEET EQUIPAMENTOS'!D:N,2,FALSE)),"")</f>
        <v/>
      </c>
      <c r="H92" s="82" t="inlineStr">
        <is>
          <t>3x30lbs</t>
        </is>
      </c>
      <c r="I92" s="57">
        <f>_xlfn.XLOOKUP(Tabela2[[#This Row],[Modelo]],'DATASHEET EQUIPAMENTOS'!D:D,'DATASHEET EQUIPAMENTOS'!P:P,"",0,1)</f>
        <v/>
      </c>
      <c r="J92" s="81">
        <f>IF(F92=$Z$2,"",VLOOKUP(F92,'DATASHEET EQUIPAMENTOS'!D:N,3,FALSE))</f>
        <v/>
      </c>
      <c r="K92" s="85" t="n">
        <v>0</v>
      </c>
      <c r="L92" s="95">
        <f>IF(AZ92="CONFORME","CONFORME ✓","NÃO CONFORME ✗")</f>
        <v/>
      </c>
      <c r="M92" s="102">
        <f>IF(F92=$Z$2,"",VLOOKUP(F92,'DATASHEET EQUIPAMENTOS'!D:N,4,FALSE))</f>
        <v/>
      </c>
      <c r="N92" s="103" t="n">
        <v>5</v>
      </c>
      <c r="O92" s="102">
        <f>IF(F92=$Z$2,"",VLOOKUP(F92,'DATASHEET EQUIPAMENTOS'!D:N,5,FALSE))</f>
        <v/>
      </c>
      <c r="P92" s="103" t="n">
        <v>1</v>
      </c>
      <c r="Q92" s="102">
        <f>IF(F92=$Z$2,"",VLOOKUP(F92,'DATASHEET EQUIPAMENTOS'!D:N,6,FALSE))</f>
        <v/>
      </c>
      <c r="R92" s="104" t="n">
        <v>1</v>
      </c>
      <c r="S92" s="95">
        <f>IF(Tabela2[[#This Row],[Instalado Sensor Motor]]="Linear","CONFORME ✓",IF(SUM(M92,O92,Q92)&lt;SUM(N92,P92,R92),"CONFORME ✓",IF(SUM(M92,O92,Q92)=SUM(N92,P92,R92),"CONFORME ✓","NÃO CONFORME ✗")))</f>
        <v/>
      </c>
      <c r="T92" s="91">
        <f>IF(F92=$Z$2,"",VLOOKUP(F92,'DATASHEET EQUIPAMENTOS'!D:N,7,FALSE))</f>
        <v/>
      </c>
      <c r="U92" s="57" t="n">
        <v>12</v>
      </c>
      <c r="V92" s="56">
        <f>IF(F92=$Z$2,"",VLOOKUP(F92,'DATASHEET EQUIPAMENTOS'!D:N,8,FALSE))</f>
        <v/>
      </c>
      <c r="W92" s="57" t="n">
        <v>3</v>
      </c>
      <c r="X92" s="56">
        <f>IF(F92=$Z$2,"",VLOOKUP(F92,'DATASHEET EQUIPAMENTOS'!D:N,9,FALSE))</f>
        <v/>
      </c>
      <c r="Y92" s="57" t="n">
        <v>3</v>
      </c>
      <c r="Z92" s="57">
        <f>IF(SUM(T92,V92,X92)&lt;=SUM(U92,W92,Y92),"CONFORME ✓",IF(SUM(T92,V92,X92)&gt;SUM(U92,W92,Y92),"NÃO CONFORME ✗"))</f>
        <v/>
      </c>
      <c r="AA92" s="56">
        <f>IF(F92=$Z$2,"",VLOOKUP(F92,'DATASHEET EQUIPAMENTOS'!D:N,10,FALSE))</f>
        <v/>
      </c>
      <c r="AB92" s="57" t="n"/>
      <c r="AC92" s="56">
        <f>IF(F92=$Z$2,"",VLOOKUP(F92,'DATASHEET EQUIPAMENTOS'!D:N,11,FALSE))</f>
        <v/>
      </c>
      <c r="AD92" s="57" t="n"/>
      <c r="AE92" s="56">
        <f>IF(F92=$Z$2,"",VLOOKUP(F92,'DATASHEET EQUIPAMENTOS'!D:O,12,FALSE))</f>
        <v/>
      </c>
      <c r="AF92" s="57" t="n"/>
      <c r="AG92" s="57">
        <f>IF(SUM(AA92,AC92,AE92)&lt;=SUM(AB92,AD92,AF92),"CONFORME ✓",IF(SUM(AA92,AC92,AE92)&gt;SUM(AB92,AD92,AF92),"NÃO CONFORME ✗"))</f>
        <v/>
      </c>
      <c r="AH92" s="72" t="n">
        <v>2.5</v>
      </c>
      <c r="AI92" s="72" t="n">
        <v>2.5</v>
      </c>
      <c r="AJ92" s="72" t="n">
        <v>2.5</v>
      </c>
      <c r="AK92" s="7" t="inlineStr">
        <is>
          <t>SUBSTITUIR UM BICO DIFUSOR POIS O SISTEMA É AFEX E ESTÁ COM BICO KIDDE SEM CAPA DE PROTEÇÃO; REFAZER ROTAS E FIXAÇÕES DOS CABEAMENTOS DOS SENSORES E MANGUEIRAS; DEFINIR POSICIONAMENTO DE PAINEL E ATUADOR SE NECESSÁRIO ALTERAR POSICIONAMENTO</t>
        </is>
      </c>
      <c r="AL92" s="58">
        <f>IFERROR(CALCULOS!H87,"NECESSÁRIO REVISAR DATASHEET")</f>
        <v/>
      </c>
      <c r="AM9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2" s="64">
        <f>SUM(Tabela2[[#This Row],[Nota de Prioridade Quantitativa(NOTAS: 1 PIOR NOTA; 5 MELHOR NOTA)]],Tabela2[[#This Row],[Nota de Prioridade Qualitativa(NOTAS: 1 PIOR NOTA;  5 MELHOR NOTA)]])</f>
        <v/>
      </c>
      <c r="AO92" s="7" t="n">
        <v>152583</v>
      </c>
      <c r="AP92" s="64">
        <f>SUM(Tabela2[[#This Row],[Nota de Prioridade Quantitativa(NOTAS: 1 PIOR NOTA; 5 MELHOR NOTA)]],Tabela2[[#This Row],[Nota de Prioridade Qualitativa(NOTAS: 1 PIOR NOTA;  5 MELHOR NOTA)]])</f>
        <v/>
      </c>
      <c r="AQ92" s="7" t="n"/>
      <c r="AR92" s="64">
        <f>SUM(Tabela2[[#This Row],[Nota de Prioridade Quantitativa(NOTAS: 1 PIOR NOTA; 5 MELHOR NOTA)]],Tabela2[[#This Row],[Nota de Prioridade Qualitativa(NOTAS: 1 PIOR NOTA;  5 MELHOR NOTA)]])</f>
        <v/>
      </c>
      <c r="AS92" s="7" t="n"/>
      <c r="AZ92" s="20">
        <f t="array" ref="AZ92">StatusCarga(G92,H92,J92,K92)</f>
        <v/>
      </c>
      <c r="BA92" s="20">
        <f>IF(AZ92="CONFORME","CONFORME ✓","NÃO CONFORME ✗")</f>
        <v/>
      </c>
      <c r="BB92" t="n">
        <v>0</v>
      </c>
      <c r="BC92" t="n">
        <v>90</v>
      </c>
      <c r="BD92" t="n">
        <v>0</v>
      </c>
      <c r="BE92" t="n">
        <v>0</v>
      </c>
      <c r="BF92" t="inlineStr">
        <is>
          <t>CONFORME</t>
        </is>
      </c>
    </row>
    <row r="93" hidden="1" ht="21.75" customHeight="1" thickBot="1">
      <c r="A93" s="77" t="inlineStr">
        <is>
          <t>Mariana</t>
        </is>
      </c>
      <c r="B93" s="77" t="inlineStr">
        <is>
          <t>Fabrica Nova</t>
        </is>
      </c>
      <c r="C93" s="80" t="inlineStr">
        <is>
          <t>CA66550</t>
        </is>
      </c>
      <c r="D93" s="80" t="inlineStr">
        <is>
          <t>AFEX</t>
        </is>
      </c>
      <c r="E93" s="78" t="inlineStr">
        <is>
          <t>CATERPILLAR</t>
        </is>
      </c>
      <c r="F93" s="80" t="inlineStr">
        <is>
          <t>cat 789D</t>
        </is>
      </c>
      <c r="G93" s="81">
        <f>IFERROR(IF(F93=$AB$2,"",VLOOKUP(F93,'DATASHEET EQUIPAMENTOS'!D:N,2,FALSE)),"")</f>
        <v/>
      </c>
      <c r="H93" s="82" t="inlineStr">
        <is>
          <t>1x60lbs</t>
        </is>
      </c>
      <c r="I93" s="57">
        <f>_xlfn.XLOOKUP(Tabela2[[#This Row],[Modelo]],'DATASHEET EQUIPAMENTOS'!D:D,'DATASHEET EQUIPAMENTOS'!P:P,"",0,1)</f>
        <v/>
      </c>
      <c r="J93" s="81">
        <f>IF(F93=$Z$2,"",VLOOKUP(F93,'DATASHEET EQUIPAMENTOS'!D:N,3,FALSE))</f>
        <v/>
      </c>
      <c r="K93" s="85" t="inlineStr">
        <is>
          <t>2x5gal</t>
        </is>
      </c>
      <c r="L93" s="95">
        <f>IF(AZ93="CONFORME","CONFORME ✓","NÃO CONFORME ✗")</f>
        <v/>
      </c>
      <c r="M93" s="102">
        <f>IF(F93=$Z$2,"",VLOOKUP(F93,'DATASHEET EQUIPAMENTOS'!D:N,4,FALSE))</f>
        <v/>
      </c>
      <c r="N93" s="103" t="inlineStr">
        <is>
          <t>Linear</t>
        </is>
      </c>
      <c r="O93" s="102">
        <f>IF(F93=$Z$2,"",VLOOKUP(F93,'DATASHEET EQUIPAMENTOS'!D:N,5,FALSE))</f>
        <v/>
      </c>
      <c r="P93" s="103" t="n"/>
      <c r="Q93" s="102">
        <f>IF(F93=$Z$2,"",VLOOKUP(F93,'DATASHEET EQUIPAMENTOS'!D:N,6,FALSE))</f>
        <v/>
      </c>
      <c r="R93" s="104" t="n"/>
      <c r="S93" s="95">
        <f>IF(Tabela2[[#This Row],[Instalado Sensor Motor]]="Linear","CONFORME ✓",IF(SUM(M93,O93,Q93)&lt;SUM(N93,P93,R93),"CONFORME ✓",IF(SUM(M93,O93,Q93)=SUM(N93,P93,R93),"CONFORME ✓","NÃO CONFORME ✗")))</f>
        <v/>
      </c>
      <c r="T93" s="91">
        <f>IF(F93=$Z$2,"",VLOOKUP(F93,'DATASHEET EQUIPAMENTOS'!D:N,7,FALSE))</f>
        <v/>
      </c>
      <c r="U93" s="62" t="n">
        <v>18</v>
      </c>
      <c r="V93" s="56">
        <f>IF(F93=$Z$2,"",VLOOKUP(F93,'DATASHEET EQUIPAMENTOS'!D:N,8,FALSE))</f>
        <v/>
      </c>
      <c r="W93" s="62" t="n">
        <v>3</v>
      </c>
      <c r="X93" s="56">
        <f>IF(F93=$Z$2,"",VLOOKUP(F93,'DATASHEET EQUIPAMENTOS'!D:N,9,FALSE))</f>
        <v/>
      </c>
      <c r="Y93" s="62" t="n">
        <v>3</v>
      </c>
      <c r="Z93" s="57">
        <f>IF(SUM(T93,V93,X93)&lt;=SUM(U93,W93,Y93),"CONFORME ✓",IF(SUM(T93,V93,X93)&gt;SUM(U93,W93,Y93),"NÃO CONFORME ✗"))</f>
        <v/>
      </c>
      <c r="AA93" s="56">
        <f>IF(F93=$Z$2,"",VLOOKUP(F93,'DATASHEET EQUIPAMENTOS'!D:N,10,FALSE))</f>
        <v/>
      </c>
      <c r="AB93" s="57" t="n">
        <v>2</v>
      </c>
      <c r="AC93" s="56">
        <f>IF(F93=$Z$2,"",VLOOKUP(F93,'DATASHEET EQUIPAMENTOS'!D:N,11,FALSE))</f>
        <v/>
      </c>
      <c r="AD93" s="57" t="n"/>
      <c r="AE93" s="56">
        <f>IF(F93=$Z$2,"",VLOOKUP(F93,'DATASHEET EQUIPAMENTOS'!D:O,12,FALSE))</f>
        <v/>
      </c>
      <c r="AF93" s="57" t="n"/>
      <c r="AG93" s="57">
        <f>IF(SUM(AA93,AC93,AE93)&lt;=SUM(AB93,AD93,AF93),"CONFORME ✓",IF(SUM(AA93,AC93,AE93)&gt;SUM(AB93,AD93,AF93),"NÃO CONFORME ✗"))</f>
        <v/>
      </c>
      <c r="AH93" s="72" t="n">
        <v>2.5</v>
      </c>
      <c r="AI93" s="72" t="n">
        <v>4</v>
      </c>
      <c r="AJ93" s="72" t="n">
        <v>5</v>
      </c>
      <c r="AK93" s="7" t="inlineStr">
        <is>
          <t>REFAZER O CABEAMENTO DO CABO SENSOR COM FIXAÇÕES ADEQUADAS; RETORNAR NO EQUIPAMENTO E REFAZER A CONTAGEM DOS BICOS DE AGENTE LÍQUIDO</t>
        </is>
      </c>
      <c r="AL93" s="58">
        <f>IFERROR(CALCULOS!H88,"NECESSÁRIO REVISAR DATASHEET")</f>
        <v/>
      </c>
      <c r="AM9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3" s="64">
        <f>SUM(Tabela2[[#This Row],[Nota de Prioridade Quantitativa(NOTAS: 1 PIOR NOTA; 5 MELHOR NOTA)]],Tabela2[[#This Row],[Nota de Prioridade Qualitativa(NOTAS: 1 PIOR NOTA;  5 MELHOR NOTA)]])</f>
        <v/>
      </c>
      <c r="AO93" s="7" t="n">
        <v>152487</v>
      </c>
      <c r="AP93" s="64">
        <f>SUM(Tabela2[[#This Row],[Nota de Prioridade Quantitativa(NOTAS: 1 PIOR NOTA; 5 MELHOR NOTA)]],Tabela2[[#This Row],[Nota de Prioridade Qualitativa(NOTAS: 1 PIOR NOTA;  5 MELHOR NOTA)]])</f>
        <v/>
      </c>
      <c r="AQ93" s="7" t="inlineStr">
        <is>
          <t>RETORNAR NO EQUIPAMENTO</t>
        </is>
      </c>
      <c r="AR93" s="64">
        <f>SUM(Tabela2[[#This Row],[Nota de Prioridade Quantitativa(NOTAS: 1 PIOR NOTA; 5 MELHOR NOTA)]],Tabela2[[#This Row],[Nota de Prioridade Qualitativa(NOTAS: 1 PIOR NOTA;  5 MELHOR NOTA)]])</f>
        <v/>
      </c>
      <c r="AS93" s="7" t="n"/>
      <c r="AZ93" s="20">
        <f t="array" ref="AZ93">StatusCarga(G93,H93,J93,K93)</f>
        <v/>
      </c>
      <c r="BA93" s="20">
        <f>IF(AZ93="CONFORME","CONFORME ✓","NÃO CONFORME ✗")</f>
        <v/>
      </c>
      <c r="BB93" t="n">
        <v>0</v>
      </c>
      <c r="BC93" t="n">
        <v>60</v>
      </c>
      <c r="BD93" t="n">
        <v>0</v>
      </c>
      <c r="BE93" t="n">
        <v>10</v>
      </c>
      <c r="BF93" t="inlineStr">
        <is>
          <t>CONFORME</t>
        </is>
      </c>
    </row>
    <row r="94" hidden="1" ht="21.75" customHeight="1" thickBot="1">
      <c r="A94" s="77" t="inlineStr">
        <is>
          <t>Paraoupeba</t>
        </is>
      </c>
      <c r="B94" s="77" t="inlineStr">
        <is>
          <t>Fábrica</t>
        </is>
      </c>
      <c r="C94" s="80" t="inlineStr">
        <is>
          <t>CA54702</t>
        </is>
      </c>
      <c r="D94" s="80" t="inlineStr">
        <is>
          <t>AFEX</t>
        </is>
      </c>
      <c r="E94" s="78" t="inlineStr">
        <is>
          <t>CATERPILLAR</t>
        </is>
      </c>
      <c r="F94" s="80" t="inlineStr">
        <is>
          <t>cat 785C</t>
        </is>
      </c>
      <c r="G94" s="81">
        <f>IFERROR(IF(F94=$AB$2,"",VLOOKUP(F94,'DATASHEET EQUIPAMENTOS'!D:N,2,FALSE)),"")</f>
        <v/>
      </c>
      <c r="H94" s="82" t="inlineStr">
        <is>
          <t>3x30lbs</t>
        </is>
      </c>
      <c r="I94" s="57">
        <f>_xlfn.XLOOKUP(Tabela2[[#This Row],[Modelo]],'DATASHEET EQUIPAMENTOS'!D:D,'DATASHEET EQUIPAMENTOS'!P:P,"",0,1)</f>
        <v/>
      </c>
      <c r="J94" s="81">
        <f>IF(F94=$Z$2,"",VLOOKUP(F94,'DATASHEET EQUIPAMENTOS'!D:N,3,FALSE))</f>
        <v/>
      </c>
      <c r="K94" s="85" t="inlineStr">
        <is>
          <t>1x5gal</t>
        </is>
      </c>
      <c r="L94" s="95">
        <f>IF(AZ94="CONFORME","CONFORME ✓","NÃO CONFORME ✗")</f>
        <v/>
      </c>
      <c r="M94" s="102">
        <f>IF(F94=$Z$2,"",VLOOKUP(F94,'DATASHEET EQUIPAMENTOS'!D:N,4,FALSE))</f>
        <v/>
      </c>
      <c r="N94" s="103" t="n">
        <v>6</v>
      </c>
      <c r="O94" s="102">
        <f>IF(F94=$Z$2,"",VLOOKUP(F94,'DATASHEET EQUIPAMENTOS'!D:N,5,FALSE))</f>
        <v/>
      </c>
      <c r="P94" s="103" t="n">
        <v>1</v>
      </c>
      <c r="Q94" s="102">
        <f>IF(F94=$Z$2,"",VLOOKUP(F94,'DATASHEET EQUIPAMENTOS'!D:N,6,FALSE))</f>
        <v/>
      </c>
      <c r="R94" s="104" t="n">
        <v>1</v>
      </c>
      <c r="S94" s="95">
        <f>IF(Tabela2[[#This Row],[Instalado Sensor Motor]]="Linear","CONFORME ✓",IF(SUM(M94,O94,Q94)&lt;SUM(N94,P94,R94),"CONFORME ✓",IF(SUM(M94,O94,Q94)=SUM(N94,P94,R94),"CONFORME ✓","NÃO CONFORME ✗")))</f>
        <v/>
      </c>
      <c r="T94" s="91">
        <f>IF(F94=$Z$2,"",VLOOKUP(F94,'DATASHEET EQUIPAMENTOS'!D:N,7,FALSE))</f>
        <v/>
      </c>
      <c r="U94" s="57" t="n">
        <v>12</v>
      </c>
      <c r="V94" s="56">
        <f>IF(F94=$Z$2,"",VLOOKUP(F94,'DATASHEET EQUIPAMENTOS'!D:N,8,FALSE))</f>
        <v/>
      </c>
      <c r="W94" s="57" t="n"/>
      <c r="X94" s="56">
        <f>IF(F94=$Z$2,"",VLOOKUP(F94,'DATASHEET EQUIPAMENTOS'!D:N,9,FALSE))</f>
        <v/>
      </c>
      <c r="Y94" s="57" t="n">
        <v>6</v>
      </c>
      <c r="Z94" s="57">
        <f>IF(SUM(T94,V94,X94)&lt;=SUM(U94,W94,Y94),"CONFORME ✓",IF(SUM(T94,V94,X94)&gt;SUM(U94,W94,Y94),"NÃO CONFORME ✗"))</f>
        <v/>
      </c>
      <c r="AA94" s="56">
        <f>IF(F94=$Z$2,"",VLOOKUP(F94,'DATASHEET EQUIPAMENTOS'!D:N,10,FALSE))</f>
        <v/>
      </c>
      <c r="AB94" s="57" t="n">
        <v>4</v>
      </c>
      <c r="AC94" s="56">
        <f>IF(F94=$Z$2,"",VLOOKUP(F94,'DATASHEET EQUIPAMENTOS'!D:N,11,FALSE))</f>
        <v/>
      </c>
      <c r="AD94" s="57" t="n"/>
      <c r="AE94" s="56">
        <f>IF(F94=$Z$2,"",VLOOKUP(F94,'DATASHEET EQUIPAMENTOS'!D:O,12,FALSE))</f>
        <v/>
      </c>
      <c r="AF94" s="57" t="n"/>
      <c r="AG94" s="57">
        <f>IF(SUM(AA94,AC94,AE94)&lt;=SUM(AB94,AD94,AF94),"CONFORME ✓",IF(SUM(AA94,AC94,AE94)&gt;SUM(AB94,AD94,AF94),"NÃO CONFORME ✗"))</f>
        <v/>
      </c>
      <c r="AH94" s="72" t="n">
        <v>2.5</v>
      </c>
      <c r="AI94" s="72" t="n">
        <v>2</v>
      </c>
      <c r="AJ94" s="72" t="n">
        <v>2.5</v>
      </c>
      <c r="AK94" s="7" t="inlineStr">
        <is>
          <t xml:space="preserve"> DEFINIR POSICIONAMENTO DE PAINEL E ATUADOR SE NECESSÁRIO ALTERAR POSICIONAMENTO; AVALIAR POSICIONAMENTO DO VARAL DOS BICOS QUE ATENDEM BOMBAS E TRANSMISSÃO POIS ESTÁ NA POSIÇÃO DOS DEMAIS 785;  REFAZER ROTAS E FIXAÇÕES DOS CABEAMENTOS DOS SENSORES E MANGUEIRAS;</t>
        </is>
      </c>
      <c r="AL94" s="58">
        <f>IFERROR(CALCULOS!H89,"NECESSÁRIO REVISAR DATASHEET")</f>
        <v/>
      </c>
      <c r="AM9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4" s="64">
        <f>SUM(Tabela2[[#This Row],[Nota de Prioridade Quantitativa(NOTAS: 1 PIOR NOTA; 5 MELHOR NOTA)]],Tabela2[[#This Row],[Nota de Prioridade Qualitativa(NOTAS: 1 PIOR NOTA;  5 MELHOR NOTA)]])</f>
        <v/>
      </c>
      <c r="AO94" s="7" t="n">
        <v>151776</v>
      </c>
      <c r="AP94" s="64">
        <f>SUM(Tabela2[[#This Row],[Nota de Prioridade Quantitativa(NOTAS: 1 PIOR NOTA; 5 MELHOR NOTA)]],Tabela2[[#This Row],[Nota de Prioridade Qualitativa(NOTAS: 1 PIOR NOTA;  5 MELHOR NOTA)]])</f>
        <v/>
      </c>
      <c r="AQ94" s="7" t="n"/>
      <c r="AR94" s="64">
        <f>SUM(Tabela2[[#This Row],[Nota de Prioridade Quantitativa(NOTAS: 1 PIOR NOTA; 5 MELHOR NOTA)]],Tabela2[[#This Row],[Nota de Prioridade Qualitativa(NOTAS: 1 PIOR NOTA;  5 MELHOR NOTA)]])</f>
        <v/>
      </c>
      <c r="AS94" s="7" t="n"/>
      <c r="AZ94" s="20">
        <f t="array" ref="AZ94">StatusCarga(G94,H94,J94,K94)</f>
        <v/>
      </c>
      <c r="BA94" s="20">
        <f>IF(AZ94="CONFORME","CONFORME ✓","NÃO CONFORME ✗")</f>
        <v/>
      </c>
      <c r="BB94" t="n">
        <v>0</v>
      </c>
      <c r="BC94" t="n">
        <v>90</v>
      </c>
      <c r="BD94" t="n">
        <v>0</v>
      </c>
      <c r="BE94" t="n">
        <v>5</v>
      </c>
      <c r="BF94" t="inlineStr">
        <is>
          <t>CONFORME</t>
        </is>
      </c>
    </row>
    <row r="95" hidden="1" ht="21.75" customHeight="1" thickBot="1">
      <c r="A95" s="77" t="inlineStr">
        <is>
          <t>Mariana</t>
        </is>
      </c>
      <c r="B95" s="77" t="inlineStr">
        <is>
          <t>Fabrica Nova</t>
        </is>
      </c>
      <c r="C95" s="80" t="inlineStr">
        <is>
          <t>CA66565</t>
        </is>
      </c>
      <c r="D95" s="80" t="inlineStr">
        <is>
          <t>AFEX</t>
        </is>
      </c>
      <c r="E95" s="78" t="inlineStr">
        <is>
          <t>CATERPILLAR</t>
        </is>
      </c>
      <c r="F95" s="80" t="inlineStr">
        <is>
          <t>cat 789D</t>
        </is>
      </c>
      <c r="G95" s="81">
        <f>IFERROR(IF(F95=$AB$2,"",VLOOKUP(F95,'DATASHEET EQUIPAMENTOS'!D:N,2,FALSE)),"")</f>
        <v/>
      </c>
      <c r="H95" s="82" t="inlineStr">
        <is>
          <t>2x60lbs</t>
        </is>
      </c>
      <c r="I95" s="57">
        <f>_xlfn.XLOOKUP(Tabela2[[#This Row],[Modelo]],'DATASHEET EQUIPAMENTOS'!D:D,'DATASHEET EQUIPAMENTOS'!P:P,"",0,1)</f>
        <v/>
      </c>
      <c r="J95" s="81">
        <f>IF(F95=$Z$2,"",VLOOKUP(F95,'DATASHEET EQUIPAMENTOS'!D:N,3,FALSE))</f>
        <v/>
      </c>
      <c r="K95" s="85" t="inlineStr">
        <is>
          <t>2x5gal</t>
        </is>
      </c>
      <c r="L95" s="95">
        <f>IF(AZ95="CONFORME","CONFORME ✓","NÃO CONFORME ✗")</f>
        <v/>
      </c>
      <c r="M95" s="102">
        <f>IF(F95=$Z$2,"",VLOOKUP(F95,'DATASHEET EQUIPAMENTOS'!D:N,4,FALSE))</f>
        <v/>
      </c>
      <c r="N95" s="103" t="n">
        <v>7</v>
      </c>
      <c r="O95" s="102">
        <f>IF(F95=$Z$2,"",VLOOKUP(F95,'DATASHEET EQUIPAMENTOS'!D:N,5,FALSE))</f>
        <v/>
      </c>
      <c r="P95" s="103" t="n">
        <v>2</v>
      </c>
      <c r="Q95" s="102">
        <f>IF(F95=$Z$2,"",VLOOKUP(F95,'DATASHEET EQUIPAMENTOS'!D:N,6,FALSE))</f>
        <v/>
      </c>
      <c r="R95" s="104" t="n">
        <v>0</v>
      </c>
      <c r="S95" s="95">
        <f>IF(Tabela2[[#This Row],[Instalado Sensor Motor]]="Linear","CONFORME ✓",IF(SUM(M95,O95,Q95)&lt;SUM(N95,P95,R95),"CONFORME ✓",IF(SUM(M95,O95,Q95)=SUM(N95,P95,R95),"CONFORME ✓","NÃO CONFORME ✗")))</f>
        <v/>
      </c>
      <c r="T95" s="91">
        <f>IF(F95=$Z$2,"",VLOOKUP(F95,'DATASHEET EQUIPAMENTOS'!D:N,7,FALSE))</f>
        <v/>
      </c>
      <c r="U95" s="62" t="n">
        <v>18</v>
      </c>
      <c r="V95" s="56">
        <f>IF(F95=$Z$2,"",VLOOKUP(F95,'DATASHEET EQUIPAMENTOS'!D:N,8,FALSE))</f>
        <v/>
      </c>
      <c r="W95" s="62" t="n">
        <v>3</v>
      </c>
      <c r="X95" s="56">
        <f>IF(F95=$Z$2,"",VLOOKUP(F95,'DATASHEET EQUIPAMENTOS'!D:N,9,FALSE))</f>
        <v/>
      </c>
      <c r="Y95" s="62" t="n">
        <v>3</v>
      </c>
      <c r="Z95" s="57">
        <f>IF(SUM(T95,V95,X95)&lt;=SUM(U95,W95,Y95),"CONFORME ✓",IF(SUM(T95,V95,X95)&gt;SUM(U95,W95,Y95),"NÃO CONFORME ✗"))</f>
        <v/>
      </c>
      <c r="AA95" s="56">
        <f>IF(F95=$Z$2,"",VLOOKUP(F95,'DATASHEET EQUIPAMENTOS'!D:N,10,FALSE))</f>
        <v/>
      </c>
      <c r="AB95" s="57" t="n">
        <v>6</v>
      </c>
      <c r="AC95" s="56">
        <f>IF(F95=$Z$2,"",VLOOKUP(F95,'DATASHEET EQUIPAMENTOS'!D:N,11,FALSE))</f>
        <v/>
      </c>
      <c r="AD95" s="57" t="n"/>
      <c r="AE95" s="56">
        <f>IF(F95=$Z$2,"",VLOOKUP(F95,'DATASHEET EQUIPAMENTOS'!D:O,12,FALSE))</f>
        <v/>
      </c>
      <c r="AF95" s="57" t="n"/>
      <c r="AG95" s="57">
        <f>IF(SUM(AA95,AC95,AE95)&lt;=SUM(AB95,AD95,AF95),"CONFORME ✓",IF(SUM(AA95,AC95,AE95)&gt;SUM(AB95,AD95,AF95),"NÃO CONFORME ✗"))</f>
        <v/>
      </c>
      <c r="AH95" s="72" t="n">
        <v>2.5</v>
      </c>
      <c r="AI95" s="72" t="n">
        <v>4</v>
      </c>
      <c r="AJ95" s="72" t="n">
        <v>5</v>
      </c>
      <c r="AK95" s="7" t="inlineStr">
        <is>
          <t>REFAZER O CABEAMENTO DO SENSOR COM FIXAÇÕES ADEQUADAS</t>
        </is>
      </c>
      <c r="AL95" s="58">
        <f>IFERROR(CALCULOS!H90,"NECESSÁRIO REVISAR DATASHEET")</f>
        <v/>
      </c>
      <c r="AM9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5" s="64">
        <f>SUM(Tabela2[[#This Row],[Nota de Prioridade Quantitativa(NOTAS: 1 PIOR NOTA; 5 MELHOR NOTA)]],Tabela2[[#This Row],[Nota de Prioridade Qualitativa(NOTAS: 1 PIOR NOTA;  5 MELHOR NOTA)]])</f>
        <v/>
      </c>
      <c r="AO95" s="7" t="n">
        <v>152643</v>
      </c>
      <c r="AP95" s="64">
        <f>SUM(Tabela2[[#This Row],[Nota de Prioridade Quantitativa(NOTAS: 1 PIOR NOTA; 5 MELHOR NOTA)]],Tabela2[[#This Row],[Nota de Prioridade Qualitativa(NOTAS: 1 PIOR NOTA;  5 MELHOR NOTA)]])</f>
        <v/>
      </c>
      <c r="AQ95" s="7" t="inlineStr">
        <is>
          <t>RETORNAR NO EQUIPAMENTO</t>
        </is>
      </c>
      <c r="AR95" s="64">
        <f>SUM(Tabela2[[#This Row],[Nota de Prioridade Quantitativa(NOTAS: 1 PIOR NOTA; 5 MELHOR NOTA)]],Tabela2[[#This Row],[Nota de Prioridade Qualitativa(NOTAS: 1 PIOR NOTA;  5 MELHOR NOTA)]])</f>
        <v/>
      </c>
      <c r="AS95" s="7" t="n"/>
      <c r="AZ95" s="20">
        <f t="array" ref="AZ95">StatusCarga(G95,H95,J95,K95)</f>
        <v/>
      </c>
      <c r="BA95" s="20">
        <f>IF(AZ95="CONFORME","CONFORME ✓","NÃO CONFORME ✗")</f>
        <v/>
      </c>
      <c r="BB95" t="n">
        <v>0</v>
      </c>
      <c r="BC95" t="n">
        <v>120</v>
      </c>
      <c r="BD95" t="n">
        <v>0</v>
      </c>
      <c r="BE95" t="n">
        <v>10</v>
      </c>
      <c r="BF95" t="inlineStr">
        <is>
          <t>CONFORME</t>
        </is>
      </c>
    </row>
    <row r="96" hidden="1" ht="21.75" customHeight="1" thickBot="1">
      <c r="A96" s="77" t="inlineStr">
        <is>
          <t>Paraoupeba</t>
        </is>
      </c>
      <c r="B96" s="77" t="inlineStr">
        <is>
          <t>Fábrica</t>
        </is>
      </c>
      <c r="C96" s="80" t="inlineStr">
        <is>
          <t>CA5421</t>
        </is>
      </c>
      <c r="D96" s="80" t="inlineStr">
        <is>
          <t>AFEX</t>
        </is>
      </c>
      <c r="E96" s="78" t="inlineStr">
        <is>
          <t>CATERPILLAR</t>
        </is>
      </c>
      <c r="F96" s="80" t="inlineStr">
        <is>
          <t>cat 785C</t>
        </is>
      </c>
      <c r="G96" s="81">
        <f>IFERROR(IF(F96=$AB$2,"",VLOOKUP(F96,'DATASHEET EQUIPAMENTOS'!D:N,2,FALSE)),"")</f>
        <v/>
      </c>
      <c r="H96" s="82" t="inlineStr">
        <is>
          <t>3x30lbs</t>
        </is>
      </c>
      <c r="I96" s="57">
        <f>_xlfn.XLOOKUP(Tabela2[[#This Row],[Modelo]],'DATASHEET EQUIPAMENTOS'!D:D,'DATASHEET EQUIPAMENTOS'!P:P,"",0,1)</f>
        <v/>
      </c>
      <c r="J96" s="81">
        <f>IF(F96=$Z$2,"",VLOOKUP(F96,'DATASHEET EQUIPAMENTOS'!D:N,3,FALSE))</f>
        <v/>
      </c>
      <c r="K96" s="85" t="inlineStr">
        <is>
          <t>1x5gal</t>
        </is>
      </c>
      <c r="L96" s="95">
        <f>IF(AZ96="CONFORME","CONFORME ✓","NÃO CONFORME ✗")</f>
        <v/>
      </c>
      <c r="M96" s="102">
        <f>IF(F96=$Z$2,"",VLOOKUP(F96,'DATASHEET EQUIPAMENTOS'!D:N,4,FALSE))</f>
        <v/>
      </c>
      <c r="N96" s="103" t="n">
        <v>4</v>
      </c>
      <c r="O96" s="102">
        <f>IF(F96=$Z$2,"",VLOOKUP(F96,'DATASHEET EQUIPAMENTOS'!D:N,5,FALSE))</f>
        <v/>
      </c>
      <c r="P96" s="103" t="n">
        <v>2</v>
      </c>
      <c r="Q96" s="102">
        <f>IF(F96=$Z$2,"",VLOOKUP(F96,'DATASHEET EQUIPAMENTOS'!D:N,6,FALSE))</f>
        <v/>
      </c>
      <c r="R96" s="104" t="n">
        <v>2</v>
      </c>
      <c r="S96" s="95">
        <f>IF(Tabela2[[#This Row],[Instalado Sensor Motor]]="Linear","CONFORME ✓",IF(SUM(M96,O96,Q96)&lt;SUM(N96,P96,R96),"CONFORME ✓",IF(SUM(M96,O96,Q96)=SUM(N96,P96,R96),"CONFORME ✓","NÃO CONFORME ✗")))</f>
        <v/>
      </c>
      <c r="T96" s="91">
        <f>IF(F96=$Z$2,"",VLOOKUP(F96,'DATASHEET EQUIPAMENTOS'!D:N,7,FALSE))</f>
        <v/>
      </c>
      <c r="U96" s="57" t="n">
        <v>12</v>
      </c>
      <c r="V96" s="56">
        <f>IF(F96=$Z$2,"",VLOOKUP(F96,'DATASHEET EQUIPAMENTOS'!D:N,8,FALSE))</f>
        <v/>
      </c>
      <c r="W96" s="57" t="n">
        <v>6</v>
      </c>
      <c r="X96" s="56">
        <f>IF(F96=$Z$2,"",VLOOKUP(F96,'DATASHEET EQUIPAMENTOS'!D:N,9,FALSE))</f>
        <v/>
      </c>
      <c r="Y96" s="57" t="n"/>
      <c r="Z96" s="57">
        <f>IF(SUM(T96,V96,X96)&lt;=SUM(U96,W96,Y96),"CONFORME ✓",IF(SUM(T96,V96,X96)&gt;SUM(U96,W96,Y96),"NÃO CONFORME ✗"))</f>
        <v/>
      </c>
      <c r="AA96" s="56">
        <f>IF(F96=$Z$2,"",VLOOKUP(F96,'DATASHEET EQUIPAMENTOS'!D:N,10,FALSE))</f>
        <v/>
      </c>
      <c r="AB96" s="57" t="n">
        <v>4</v>
      </c>
      <c r="AC96" s="56">
        <f>IF(F96=$Z$2,"",VLOOKUP(F96,'DATASHEET EQUIPAMENTOS'!D:N,11,FALSE))</f>
        <v/>
      </c>
      <c r="AD96" s="57" t="n"/>
      <c r="AE96" s="56">
        <f>IF(F96=$Z$2,"",VLOOKUP(F96,'DATASHEET EQUIPAMENTOS'!D:O,12,FALSE))</f>
        <v/>
      </c>
      <c r="AF96" s="57" t="n"/>
      <c r="AG96" s="57">
        <f>IF(SUM(AA96,AC96,AE96)&lt;=SUM(AB96,AD96,AF96),"CONFORME ✓",IF(SUM(AA96,AC96,AE96)&gt;SUM(AB96,AD96,AF96),"NÃO CONFORME ✗"))</f>
        <v/>
      </c>
      <c r="AH96" s="72" t="n">
        <v>2.5</v>
      </c>
      <c r="AI96" s="72" t="n">
        <v>2</v>
      </c>
      <c r="AJ96" s="72" t="n">
        <v>2.5</v>
      </c>
      <c r="AK96" s="7" t="inlineStr">
        <is>
          <t xml:space="preserve"> DEFINIR POSICIONAMENTO DE PAINEL E ATUADOR SE NECESSÁRIO ALTERAR POSICIONAMENTO; AVALIAR POSICIONAMENTO DO VARAL DOS BICOS QUE ATENDEM BOMBAS E TRANSMISSÃO POIS ESTÁ NA POSIÇÃO DOS DEMAIS 785;  REFAZER ROTAS E FIXAÇÕES DOS CABEAMENTOS DOS SENSORES E MANGUEIRAS;</t>
        </is>
      </c>
      <c r="AL96" s="58">
        <f>IFERROR(CALCULOS!H91,"NECESSÁRIO REVISAR DATASHEET")</f>
        <v/>
      </c>
      <c r="AM9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6" s="64">
        <f>SUM(Tabela2[[#This Row],[Nota de Prioridade Quantitativa(NOTAS: 1 PIOR NOTA; 5 MELHOR NOTA)]],Tabela2[[#This Row],[Nota de Prioridade Qualitativa(NOTAS: 1 PIOR NOTA;  5 MELHOR NOTA)]])</f>
        <v/>
      </c>
      <c r="AO96" s="7" t="n">
        <v>150905</v>
      </c>
      <c r="AP96" s="64">
        <f>SUM(Tabela2[[#This Row],[Nota de Prioridade Quantitativa(NOTAS: 1 PIOR NOTA; 5 MELHOR NOTA)]],Tabela2[[#This Row],[Nota de Prioridade Qualitativa(NOTAS: 1 PIOR NOTA;  5 MELHOR NOTA)]])</f>
        <v/>
      </c>
      <c r="AQ96" s="7" t="n"/>
      <c r="AR96" s="64">
        <f>SUM(Tabela2[[#This Row],[Nota de Prioridade Quantitativa(NOTAS: 1 PIOR NOTA; 5 MELHOR NOTA)]],Tabela2[[#This Row],[Nota de Prioridade Qualitativa(NOTAS: 1 PIOR NOTA;  5 MELHOR NOTA)]])</f>
        <v/>
      </c>
      <c r="AS96" s="7" t="n"/>
      <c r="AZ96" s="20">
        <f t="array" ref="AZ96">StatusCarga(G96,H96,J96,K96)</f>
        <v/>
      </c>
      <c r="BA96" s="20">
        <f>IF(AZ96="CONFORME","CONFORME ✓","NÃO CONFORME ✗")</f>
        <v/>
      </c>
      <c r="BB96" t="n">
        <v>0</v>
      </c>
      <c r="BC96" t="n">
        <v>90</v>
      </c>
      <c r="BD96" t="n">
        <v>0</v>
      </c>
      <c r="BE96" t="n">
        <v>5</v>
      </c>
      <c r="BF96" t="inlineStr">
        <is>
          <t>CONFORME</t>
        </is>
      </c>
    </row>
    <row r="97" hidden="1" ht="21.75" customHeight="1" thickBot="1">
      <c r="A97" s="77" t="inlineStr">
        <is>
          <t>Paraoupeba</t>
        </is>
      </c>
      <c r="B97" s="77" t="inlineStr">
        <is>
          <t>Fábrica</t>
        </is>
      </c>
      <c r="C97" s="80" t="inlineStr">
        <is>
          <t>CA5420</t>
        </is>
      </c>
      <c r="D97" s="80" t="inlineStr">
        <is>
          <t>AFEX</t>
        </is>
      </c>
      <c r="E97" s="78" t="inlineStr">
        <is>
          <t>CATERPILLAR</t>
        </is>
      </c>
      <c r="F97" s="80" t="inlineStr">
        <is>
          <t>cat 785C</t>
        </is>
      </c>
      <c r="G97" s="81">
        <f>IFERROR(IF(F97=$AB$2,"",VLOOKUP(F97,'DATASHEET EQUIPAMENTOS'!D:N,2,FALSE)),"")</f>
        <v/>
      </c>
      <c r="H97" s="82" t="inlineStr">
        <is>
          <t>3x30lbs</t>
        </is>
      </c>
      <c r="I97" s="57">
        <f>_xlfn.XLOOKUP(Tabela2[[#This Row],[Modelo]],'DATASHEET EQUIPAMENTOS'!D:D,'DATASHEET EQUIPAMENTOS'!P:P,"",0,1)</f>
        <v/>
      </c>
      <c r="J97" s="81">
        <f>IF(F97=$Z$2,"",VLOOKUP(F97,'DATASHEET EQUIPAMENTOS'!D:N,3,FALSE))</f>
        <v/>
      </c>
      <c r="K97" s="85" t="inlineStr">
        <is>
          <t>1x5gal</t>
        </is>
      </c>
      <c r="L97" s="95">
        <f>IF(AZ97="CONFORME","CONFORME ✓","NÃO CONFORME ✗")</f>
        <v/>
      </c>
      <c r="M97" s="102">
        <f>IF(F97=$Z$2,"",VLOOKUP(F97,'DATASHEET EQUIPAMENTOS'!D:N,4,FALSE))</f>
        <v/>
      </c>
      <c r="N97" s="103" t="n">
        <v>4</v>
      </c>
      <c r="O97" s="102">
        <f>IF(F97=$Z$2,"",VLOOKUP(F97,'DATASHEET EQUIPAMENTOS'!D:N,5,FALSE))</f>
        <v/>
      </c>
      <c r="P97" s="103" t="n">
        <v>1</v>
      </c>
      <c r="Q97" s="102">
        <f>IF(F97=$Z$2,"",VLOOKUP(F97,'DATASHEET EQUIPAMENTOS'!D:N,6,FALSE))</f>
        <v/>
      </c>
      <c r="R97" s="104" t="n">
        <v>2</v>
      </c>
      <c r="S97" s="95">
        <f>IF(Tabela2[[#This Row],[Instalado Sensor Motor]]="Linear","CONFORME ✓",IF(SUM(M97,O97,Q97)&lt;SUM(N97,P97,R97),"CONFORME ✓",IF(SUM(M97,O97,Q97)=SUM(N97,P97,R97),"CONFORME ✓","NÃO CONFORME ✗")))</f>
        <v/>
      </c>
      <c r="T97" s="91">
        <f>IF(F97=$Z$2,"",VLOOKUP(F97,'DATASHEET EQUIPAMENTOS'!D:N,7,FALSE))</f>
        <v/>
      </c>
      <c r="U97" s="57" t="n">
        <v>12</v>
      </c>
      <c r="V97" s="56">
        <f>IF(F97=$Z$2,"",VLOOKUP(F97,'DATASHEET EQUIPAMENTOS'!D:N,8,FALSE))</f>
        <v/>
      </c>
      <c r="W97" s="57" t="n">
        <v>3</v>
      </c>
      <c r="X97" s="56">
        <f>IF(F97=$Z$2,"",VLOOKUP(F97,'DATASHEET EQUIPAMENTOS'!D:N,9,FALSE))</f>
        <v/>
      </c>
      <c r="Y97" s="57" t="n">
        <v>4</v>
      </c>
      <c r="Z97" s="57">
        <f>IF(SUM(T97,V97,X97)&lt;=SUM(U97,W97,Y97),"CONFORME ✓",IF(SUM(T97,V97,X97)&gt;SUM(U97,W97,Y97),"NÃO CONFORME ✗"))</f>
        <v/>
      </c>
      <c r="AA97" s="56">
        <f>IF(F97=$Z$2,"",VLOOKUP(F97,'DATASHEET EQUIPAMENTOS'!D:N,10,FALSE))</f>
        <v/>
      </c>
      <c r="AB97" s="57" t="n">
        <v>4</v>
      </c>
      <c r="AC97" s="56">
        <f>IF(F97=$Z$2,"",VLOOKUP(F97,'DATASHEET EQUIPAMENTOS'!D:N,11,FALSE))</f>
        <v/>
      </c>
      <c r="AD97" s="57" t="n"/>
      <c r="AE97" s="56">
        <f>IF(F97=$Z$2,"",VLOOKUP(F97,'DATASHEET EQUIPAMENTOS'!D:O,12,FALSE))</f>
        <v/>
      </c>
      <c r="AF97" s="57" t="n"/>
      <c r="AG97" s="57">
        <f>IF(SUM(AA97,AC97,AE97)&lt;=SUM(AB97,AD97,AF97),"CONFORME ✓",IF(SUM(AA97,AC97,AE97)&gt;SUM(AB97,AD97,AF97),"NÃO CONFORME ✗"))</f>
        <v/>
      </c>
      <c r="AH97" s="72" t="n">
        <v>2.5</v>
      </c>
      <c r="AI97" s="72" t="n">
        <v>2.5</v>
      </c>
      <c r="AJ97" s="72" t="n">
        <v>2.5</v>
      </c>
      <c r="AK97" s="7" t="inlineStr">
        <is>
          <t xml:space="preserve"> DEFINIR POSICIONAMENTO DE PAINEL E ATUADOR SE NECESSÁRIO ALTERAR POSICIONAMENTO; AVALIAR POSICIONAMENTO DO VARAL DOS BICOS QUE ATENDEM BOMBAS E TRANSMISSÃO POIS ESTÁ NA POSIÇÃO DOS DEMAIS 785;  REFAZER ROTAS E FIXAÇÕES DOS CABEAMENTOS DOS SENSORES E MANGUEIRAS;</t>
        </is>
      </c>
      <c r="AL97" s="58">
        <f>IFERROR(CALCULOS!H92,"NECESSÁRIO REVISAR DATASHEET")</f>
        <v/>
      </c>
      <c r="AM9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7" s="64">
        <f>SUM(Tabela2[[#This Row],[Nota de Prioridade Quantitativa(NOTAS: 1 PIOR NOTA; 5 MELHOR NOTA)]],Tabela2[[#This Row],[Nota de Prioridade Qualitativa(NOTAS: 1 PIOR NOTA;  5 MELHOR NOTA)]])</f>
        <v/>
      </c>
      <c r="AO97" s="7" t="n">
        <v>148931</v>
      </c>
      <c r="AP97" s="64">
        <f>SUM(Tabela2[[#This Row],[Nota de Prioridade Quantitativa(NOTAS: 1 PIOR NOTA; 5 MELHOR NOTA)]],Tabela2[[#This Row],[Nota de Prioridade Qualitativa(NOTAS: 1 PIOR NOTA;  5 MELHOR NOTA)]])</f>
        <v/>
      </c>
      <c r="AQ97" s="7" t="n"/>
      <c r="AR97" s="64">
        <f>SUM(Tabela2[[#This Row],[Nota de Prioridade Quantitativa(NOTAS: 1 PIOR NOTA; 5 MELHOR NOTA)]],Tabela2[[#This Row],[Nota de Prioridade Qualitativa(NOTAS: 1 PIOR NOTA;  5 MELHOR NOTA)]])</f>
        <v/>
      </c>
      <c r="AS97" s="7" t="n"/>
      <c r="AZ97" s="20">
        <f t="array" ref="AZ97">StatusCarga(G97,H97,J97,K97)</f>
        <v/>
      </c>
      <c r="BA97" s="20">
        <f>IF(AZ97="CONFORME","CONFORME ✓","NÃO CONFORME ✗")</f>
        <v/>
      </c>
      <c r="BB97" t="n">
        <v>0</v>
      </c>
      <c r="BC97" t="n">
        <v>90</v>
      </c>
      <c r="BD97" t="n">
        <v>0</v>
      </c>
      <c r="BE97" t="n">
        <v>5</v>
      </c>
      <c r="BF97" t="inlineStr">
        <is>
          <t>CONFORME</t>
        </is>
      </c>
    </row>
    <row r="98" hidden="1" ht="21.75" customHeight="1" thickBot="1">
      <c r="A98" s="77" t="inlineStr">
        <is>
          <t>VGR</t>
        </is>
      </c>
      <c r="B98" s="77" t="inlineStr">
        <is>
          <t>Aboboras</t>
        </is>
      </c>
      <c r="C98" s="80" t="inlineStr">
        <is>
          <t>CA5481</t>
        </is>
      </c>
      <c r="D98" s="80" t="inlineStr">
        <is>
          <t>AFEX</t>
        </is>
      </c>
      <c r="E98" s="78" t="inlineStr">
        <is>
          <t>CATERPILLAR</t>
        </is>
      </c>
      <c r="F98" s="80" t="inlineStr">
        <is>
          <t>cat 789D</t>
        </is>
      </c>
      <c r="G98" s="81">
        <f>IFERROR(IF(F98=$AB$2,"",VLOOKUP(F98,'DATASHEET EQUIPAMENTOS'!D:N,2,FALSE)),"")</f>
        <v/>
      </c>
      <c r="H98" s="82" t="inlineStr">
        <is>
          <t>4x30lbs</t>
        </is>
      </c>
      <c r="I98" s="57">
        <f>_xlfn.XLOOKUP(Tabela2[[#This Row],[Modelo]],'DATASHEET EQUIPAMENTOS'!D:D,'DATASHEET EQUIPAMENTOS'!P:P,"",0,1)</f>
        <v/>
      </c>
      <c r="J98" s="81">
        <f>IF(F98=$Z$2,"",VLOOKUP(F98,'DATASHEET EQUIPAMENTOS'!D:N,3,FALSE))</f>
        <v/>
      </c>
      <c r="K98" s="85" t="n">
        <v>0</v>
      </c>
      <c r="L98" s="95">
        <f>IF(AZ98="CONFORME","CONFORME ✓","NÃO CONFORME ✗")</f>
        <v/>
      </c>
      <c r="M98" s="102">
        <f>IF(F98=$Z$2,"",VLOOKUP(F98,'DATASHEET EQUIPAMENTOS'!D:N,4,FALSE))</f>
        <v/>
      </c>
      <c r="N98" s="103" t="n">
        <v>6</v>
      </c>
      <c r="O98" s="102">
        <f>IF(F98=$Z$2,"",VLOOKUP(F98,'DATASHEET EQUIPAMENTOS'!D:N,5,FALSE))</f>
        <v/>
      </c>
      <c r="P98" s="103" t="n">
        <v>2</v>
      </c>
      <c r="Q98" s="102">
        <f>IF(F98=$Z$2,"",VLOOKUP(F98,'DATASHEET EQUIPAMENTOS'!D:N,6,FALSE))</f>
        <v/>
      </c>
      <c r="R98" s="104" t="n">
        <v>1</v>
      </c>
      <c r="S98" s="95">
        <f>IF(Tabela2[[#This Row],[Instalado Sensor Motor]]="Linear","CONFORME ✓",IF(SUM(M98,O98,Q98)&lt;SUM(N98,P98,R98),"CONFORME ✓",IF(SUM(M98,O98,Q98)=SUM(N98,P98,R98),"CONFORME ✓","NÃO CONFORME ✗")))</f>
        <v/>
      </c>
      <c r="T98" s="91">
        <f>IF(F98=$Z$2,"",VLOOKUP(F98,'DATASHEET EQUIPAMENTOS'!D:N,7,FALSE))</f>
        <v/>
      </c>
      <c r="U98" s="57" t="n">
        <v>18</v>
      </c>
      <c r="V98" s="56">
        <f>IF(F98=$Z$2,"",VLOOKUP(F98,'DATASHEET EQUIPAMENTOS'!D:N,8,FALSE))</f>
        <v/>
      </c>
      <c r="W98" s="57" t="n">
        <v>3</v>
      </c>
      <c r="X98" s="56">
        <f>IF(F98=$Z$2,"",VLOOKUP(F98,'DATASHEET EQUIPAMENTOS'!D:N,9,FALSE))</f>
        <v/>
      </c>
      <c r="Y98" s="57" t="n">
        <v>3</v>
      </c>
      <c r="Z98" s="57">
        <f>IF(SUM(T98,V98,X98)&lt;=SUM(U98,W98,Y98),"CONFORME ✓",IF(SUM(T98,V98,X98)&gt;SUM(U98,W98,Y98),"NÃO CONFORME ✗"))</f>
        <v/>
      </c>
      <c r="AA98" s="56">
        <f>IF(F98=$Z$2,"",VLOOKUP(F98,'DATASHEET EQUIPAMENTOS'!D:N,10,FALSE))</f>
        <v/>
      </c>
      <c r="AB98" s="57" t="n"/>
      <c r="AC98" s="56">
        <f>IF(F98=$Z$2,"",VLOOKUP(F98,'DATASHEET EQUIPAMENTOS'!D:N,11,FALSE))</f>
        <v/>
      </c>
      <c r="AD98" s="57" t="n"/>
      <c r="AE98" s="56">
        <f>IF(F98=$Z$2,"",VLOOKUP(F98,'DATASHEET EQUIPAMENTOS'!D:O,12,FALSE))</f>
        <v/>
      </c>
      <c r="AF98" s="57" t="n"/>
      <c r="AG98" s="57">
        <f>IF(SUM(AA98,AC98,AE98)&lt;=SUM(AB98,AD98,AF98),"CONFORME ✓",IF(SUM(AA98,AC98,AE98)&gt;SUM(AB98,AD98,AF98),"NÃO CONFORME ✗"))</f>
        <v/>
      </c>
      <c r="AH98" s="72" t="n">
        <v>3.5</v>
      </c>
      <c r="AI98" s="72" t="n">
        <v>2.5</v>
      </c>
      <c r="AJ98" s="72" t="n">
        <v>4</v>
      </c>
      <c r="AK98" s="7" t="inlineStr">
        <is>
          <t>ADICIONAR 1 BICO PQS; REPOSICIONAMENTO DO PAINEL E ACIONADOR INTERNO; REPOSICIONAMENTO DE BICOS PQS E CABOS SENSOPRES</t>
        </is>
      </c>
      <c r="AL98" s="58">
        <f>IFERROR(CALCULOS!H93,"NECESSÁRIO REVISAR DATASHEET")</f>
        <v/>
      </c>
      <c r="AM9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8" s="64">
        <f>SUM(Tabela2[[#This Row],[Nota de Prioridade Quantitativa(NOTAS: 1 PIOR NOTA; 5 MELHOR NOTA)]],Tabela2[[#This Row],[Nota de Prioridade Qualitativa(NOTAS: 1 PIOR NOTA;  5 MELHOR NOTA)]])</f>
        <v/>
      </c>
      <c r="AO98" s="7" t="n">
        <v>151079</v>
      </c>
      <c r="AP98" s="64">
        <f>SUM(Tabela2[[#This Row],[Nota de Prioridade Quantitativa(NOTAS: 1 PIOR NOTA; 5 MELHOR NOTA)]],Tabela2[[#This Row],[Nota de Prioridade Qualitativa(NOTAS: 1 PIOR NOTA;  5 MELHOR NOTA)]])</f>
        <v/>
      </c>
      <c r="AQ98" s="7" t="n"/>
      <c r="AR98" s="64">
        <f>SUM(Tabela2[[#This Row],[Nota de Prioridade Quantitativa(NOTAS: 1 PIOR NOTA; 5 MELHOR NOTA)]],Tabela2[[#This Row],[Nota de Prioridade Qualitativa(NOTAS: 1 PIOR NOTA;  5 MELHOR NOTA)]])</f>
        <v/>
      </c>
      <c r="AS98" s="7" t="n"/>
      <c r="AZ98" s="20">
        <f t="array" ref="AZ98">StatusCarga(G98,H98,J98,K98)</f>
        <v/>
      </c>
      <c r="BA98" s="20">
        <f>IF(AZ98="CONFORME","CONFORME ✓","NÃO CONFORME ✗")</f>
        <v/>
      </c>
      <c r="BB98" t="n">
        <v>0</v>
      </c>
      <c r="BC98" t="n">
        <v>120</v>
      </c>
      <c r="BD98" t="n">
        <v>0</v>
      </c>
      <c r="BE98" t="n">
        <v>0</v>
      </c>
      <c r="BF98" t="inlineStr">
        <is>
          <t>CONFORME</t>
        </is>
      </c>
    </row>
    <row r="99" hidden="1" ht="21.75" customHeight="1" thickBot="1">
      <c r="A99" s="77" t="inlineStr">
        <is>
          <t>Paraoupeba</t>
        </is>
      </c>
      <c r="B99" s="77" t="inlineStr">
        <is>
          <t>Fábrica</t>
        </is>
      </c>
      <c r="C99" s="80" t="inlineStr">
        <is>
          <t>CA54700</t>
        </is>
      </c>
      <c r="D99" s="80" t="inlineStr">
        <is>
          <t>AFEX</t>
        </is>
      </c>
      <c r="E99" s="78" t="inlineStr">
        <is>
          <t>CATERPILLAR</t>
        </is>
      </c>
      <c r="F99" s="80" t="inlineStr">
        <is>
          <t>cat 785D</t>
        </is>
      </c>
      <c r="G99" s="81">
        <f>IFERROR(IF(F99=$AB$2,"",VLOOKUP(F99,'DATASHEET EQUIPAMENTOS'!D:N,2,FALSE)),"")</f>
        <v/>
      </c>
      <c r="H99" s="82" t="inlineStr">
        <is>
          <t>3x30lbs</t>
        </is>
      </c>
      <c r="I99" s="57">
        <f>_xlfn.XLOOKUP(Tabela2[[#This Row],[Modelo]],'DATASHEET EQUIPAMENTOS'!D:D,'DATASHEET EQUIPAMENTOS'!P:P,"",0,1)</f>
        <v/>
      </c>
      <c r="J99" s="81">
        <f>IF(F99=$Z$2,"",VLOOKUP(F99,'DATASHEET EQUIPAMENTOS'!D:N,3,FALSE))</f>
        <v/>
      </c>
      <c r="K99" s="85" t="n">
        <v>0</v>
      </c>
      <c r="L99" s="95">
        <f>IF(AZ99="CONFORME","CONFORME ✓","NÃO CONFORME ✗")</f>
        <v/>
      </c>
      <c r="M99" s="102">
        <f>IF(F99=$Z$2,"",VLOOKUP(F99,'DATASHEET EQUIPAMENTOS'!D:N,4,FALSE))</f>
        <v/>
      </c>
      <c r="N99" s="103" t="n">
        <v>5</v>
      </c>
      <c r="O99" s="102">
        <f>IF(F99=$Z$2,"",VLOOKUP(F99,'DATASHEET EQUIPAMENTOS'!D:N,5,FALSE))</f>
        <v/>
      </c>
      <c r="P99" s="103" t="n">
        <v>1</v>
      </c>
      <c r="Q99" s="102">
        <f>IF(F99=$Z$2,"",VLOOKUP(F99,'DATASHEET EQUIPAMENTOS'!D:N,6,FALSE))</f>
        <v/>
      </c>
      <c r="R99" s="104" t="n">
        <v>2</v>
      </c>
      <c r="S99" s="95">
        <f>IF(Tabela2[[#This Row],[Instalado Sensor Motor]]="Linear","CONFORME ✓",IF(SUM(M99,O99,Q99)&lt;SUM(N99,P99,R99),"CONFORME ✓",IF(SUM(M99,O99,Q99)=SUM(N99,P99,R99),"CONFORME ✓","NÃO CONFORME ✗")))</f>
        <v/>
      </c>
      <c r="T99" s="91">
        <f>IF(F99=$Z$2,"",VLOOKUP(F99,'DATASHEET EQUIPAMENTOS'!D:N,7,FALSE))</f>
        <v/>
      </c>
      <c r="U99" s="57" t="n">
        <v>12</v>
      </c>
      <c r="V99" s="56">
        <f>IF(F99=$Z$2,"",VLOOKUP(F99,'DATASHEET EQUIPAMENTOS'!D:N,8,FALSE))</f>
        <v/>
      </c>
      <c r="W99" s="57" t="n"/>
      <c r="X99" s="56">
        <f>IF(F99=$Z$2,"",VLOOKUP(F99,'DATASHEET EQUIPAMENTOS'!D:N,9,FALSE))</f>
        <v/>
      </c>
      <c r="Y99" s="57" t="n">
        <v>6</v>
      </c>
      <c r="Z99" s="57">
        <f>IF(SUM(T99,V99,X99)&lt;=SUM(U99,W99,Y99),"CONFORME ✓",IF(SUM(T99,V99,X99)&gt;SUM(U99,W99,Y99),"NÃO CONFORME ✗"))</f>
        <v/>
      </c>
      <c r="AA99" s="56">
        <f>IF(F99=$Z$2,"",VLOOKUP(F99,'DATASHEET EQUIPAMENTOS'!D:N,10,FALSE))</f>
        <v/>
      </c>
      <c r="AB99" s="57" t="n"/>
      <c r="AC99" s="56">
        <f>IF(F99=$Z$2,"",VLOOKUP(F99,'DATASHEET EQUIPAMENTOS'!D:N,11,FALSE))</f>
        <v/>
      </c>
      <c r="AD99" s="57" t="n"/>
      <c r="AE99" s="56">
        <f>IF(F99=$Z$2,"",VLOOKUP(F99,'DATASHEET EQUIPAMENTOS'!D:O,12,FALSE))</f>
        <v/>
      </c>
      <c r="AF99" s="57" t="n"/>
      <c r="AG99" s="57">
        <f>IF(SUM(AA99,AC99,AE99)&lt;=SUM(AB99,AD99,AF99),"CONFORME ✓",IF(SUM(AA99,AC99,AE99)&gt;SUM(AB99,AD99,AF99),"NÃO CONFORME ✗"))</f>
        <v/>
      </c>
      <c r="AH99" s="72" t="n">
        <v>2.5</v>
      </c>
      <c r="AI99" s="72" t="n">
        <v>2.5</v>
      </c>
      <c r="AJ99" s="72" t="n">
        <v>2.5</v>
      </c>
      <c r="AK99" s="7" t="inlineStr">
        <is>
          <t xml:space="preserve"> DEFINIR POSICIONAMENTO DE PAINEL E ATUADOR SE NECESSÁRIO ALTERAR POSICIONAMENTO; AVALIAR POSICIONAMENTO DO VARAL DOS BICOS QUE ATENDEM BOMBAS E TRANSMISSÃO POIS ESTÁ NA POSIÇÃO DOS DEMAIS 785;  REFAZER ROTAS E FIXAÇÕES DOS CABEAMENTOS DOS SENSORES E MANGUEIRAS;</t>
        </is>
      </c>
      <c r="AL99" s="58">
        <f>IFERROR(CALCULOS!H94,"NECESSÁRIO REVISAR DATASHEET")</f>
        <v/>
      </c>
      <c r="AM9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99" s="64">
        <f>SUM(Tabela2[[#This Row],[Nota de Prioridade Quantitativa(NOTAS: 1 PIOR NOTA; 5 MELHOR NOTA)]],Tabela2[[#This Row],[Nota de Prioridade Qualitativa(NOTAS: 1 PIOR NOTA;  5 MELHOR NOTA)]])</f>
        <v/>
      </c>
      <c r="AO99" s="7" t="n">
        <v>152311</v>
      </c>
      <c r="AP99" s="64">
        <f>SUM(Tabela2[[#This Row],[Nota de Prioridade Quantitativa(NOTAS: 1 PIOR NOTA; 5 MELHOR NOTA)]],Tabela2[[#This Row],[Nota de Prioridade Qualitativa(NOTAS: 1 PIOR NOTA;  5 MELHOR NOTA)]])</f>
        <v/>
      </c>
      <c r="AQ99" s="7" t="n"/>
      <c r="AR99" s="64">
        <f>SUM(Tabela2[[#This Row],[Nota de Prioridade Quantitativa(NOTAS: 1 PIOR NOTA; 5 MELHOR NOTA)]],Tabela2[[#This Row],[Nota de Prioridade Qualitativa(NOTAS: 1 PIOR NOTA;  5 MELHOR NOTA)]])</f>
        <v/>
      </c>
      <c r="AS99" s="7" t="n"/>
      <c r="AZ99" s="20">
        <f t="array" ref="AZ99">StatusCarga(G99,H99,J99,K99)</f>
        <v/>
      </c>
      <c r="BA99" s="20">
        <f>IF(AZ99="CONFORME","CONFORME ✓","NÃO CONFORME ✗")</f>
        <v/>
      </c>
      <c r="BB99" t="n">
        <v>0</v>
      </c>
      <c r="BC99" t="n">
        <v>90</v>
      </c>
      <c r="BD99" t="n">
        <v>0</v>
      </c>
      <c r="BE99" t="n">
        <v>0</v>
      </c>
      <c r="BF99" t="inlineStr">
        <is>
          <t>CONFORME</t>
        </is>
      </c>
    </row>
    <row r="100" hidden="1" ht="21.75" customHeight="1" thickBot="1">
      <c r="A100" s="77" t="inlineStr">
        <is>
          <t>Paraoupeba</t>
        </is>
      </c>
      <c r="B100" s="77" t="inlineStr">
        <is>
          <t>Fábrica</t>
        </is>
      </c>
      <c r="C100" s="80" t="inlineStr">
        <is>
          <t>CA5478</t>
        </is>
      </c>
      <c r="D100" s="80" t="inlineStr">
        <is>
          <t>AFEX</t>
        </is>
      </c>
      <c r="E100" s="78" t="inlineStr">
        <is>
          <t>CATERPILLAR</t>
        </is>
      </c>
      <c r="F100" s="80" t="inlineStr">
        <is>
          <t>cat 785D</t>
        </is>
      </c>
      <c r="G100" s="81">
        <f>IFERROR(IF(F100=$AB$2,"",VLOOKUP(F100,'DATASHEET EQUIPAMENTOS'!D:N,2,FALSE)),"")</f>
        <v/>
      </c>
      <c r="H100" s="82" t="inlineStr">
        <is>
          <t>3x30lbs</t>
        </is>
      </c>
      <c r="I100" s="57">
        <f>_xlfn.XLOOKUP(Tabela2[[#This Row],[Modelo]],'DATASHEET EQUIPAMENTOS'!D:D,'DATASHEET EQUIPAMENTOS'!P:P,"",0,1)</f>
        <v/>
      </c>
      <c r="J100" s="81">
        <f>IF(F100=$Z$2,"",VLOOKUP(F100,'DATASHEET EQUIPAMENTOS'!D:N,3,FALSE))</f>
        <v/>
      </c>
      <c r="K100" s="85" t="n">
        <v>0</v>
      </c>
      <c r="L100" s="95">
        <f>IF(AZ100="CONFORME","CONFORME ✓","NÃO CONFORME ✗")</f>
        <v/>
      </c>
      <c r="M100" s="102">
        <f>IF(F100=$Z$2,"",VLOOKUP(F100,'DATASHEET EQUIPAMENTOS'!D:N,4,FALSE))</f>
        <v/>
      </c>
      <c r="N100" s="105" t="n">
        <v>5</v>
      </c>
      <c r="O100" s="102">
        <f>IF(F100=$Z$2,"",VLOOKUP(F100,'DATASHEET EQUIPAMENTOS'!D:N,5,FALSE))</f>
        <v/>
      </c>
      <c r="P100" s="103" t="n">
        <v>1</v>
      </c>
      <c r="Q100" s="102">
        <f>IF(F100=$Z$2,"",VLOOKUP(F100,'DATASHEET EQUIPAMENTOS'!D:N,6,FALSE))</f>
        <v/>
      </c>
      <c r="R100" s="104" t="n">
        <v>1</v>
      </c>
      <c r="S100" s="95">
        <f>IF(Tabela2[[#This Row],[Instalado Sensor Motor]]="Linear","CONFORME ✓",IF(SUM(M100,O100,Q100)&lt;SUM(N100,P100,R100),"CONFORME ✓",IF(SUM(M100,O100,Q100)=SUM(N100,P100,R100),"CONFORME ✓","NÃO CONFORME ✗")))</f>
        <v/>
      </c>
      <c r="T100" s="91">
        <f>IF(F100=$Z$2,"",VLOOKUP(F100,'DATASHEET EQUIPAMENTOS'!D:N,7,FALSE))</f>
        <v/>
      </c>
      <c r="U100" s="57" t="n">
        <v>12</v>
      </c>
      <c r="V100" s="56">
        <f>IF(F100=$Z$2,"",VLOOKUP(F100,'DATASHEET EQUIPAMENTOS'!D:N,8,FALSE))</f>
        <v/>
      </c>
      <c r="W100" s="57" t="n">
        <v>6</v>
      </c>
      <c r="X100" s="56">
        <f>IF(F100=$Z$2,"",VLOOKUP(F100,'DATASHEET EQUIPAMENTOS'!D:N,9,FALSE))</f>
        <v/>
      </c>
      <c r="Y100" s="57" t="n"/>
      <c r="Z100" s="57">
        <f>IF(SUM(T100,V100,X100)&lt;=SUM(U100,W100,Y100),"CONFORME ✓",IF(SUM(T100,V100,X100)&gt;SUM(U100,W100,Y100),"NÃO CONFORME ✗"))</f>
        <v/>
      </c>
      <c r="AA100" s="56">
        <f>IF(F100=$Z$2,"",VLOOKUP(F100,'DATASHEET EQUIPAMENTOS'!D:N,10,FALSE))</f>
        <v/>
      </c>
      <c r="AB100" s="57" t="n"/>
      <c r="AC100" s="56">
        <f>IF(F100=$Z$2,"",VLOOKUP(F100,'DATASHEET EQUIPAMENTOS'!D:N,11,FALSE))</f>
        <v/>
      </c>
      <c r="AD100" s="57" t="n"/>
      <c r="AE100" s="56">
        <f>IF(F100=$Z$2,"",VLOOKUP(F100,'DATASHEET EQUIPAMENTOS'!D:O,12,FALSE))</f>
        <v/>
      </c>
      <c r="AF100" s="57" t="n"/>
      <c r="AG100" s="57">
        <f>IF(SUM(AA100,AC100,AE100)&lt;=SUM(AB100,AD100,AF100),"CONFORME ✓",IF(SUM(AA100,AC100,AE100)&gt;SUM(AB100,AD100,AF100),"NÃO CONFORME ✗"))</f>
        <v/>
      </c>
      <c r="AH100" s="72" t="n">
        <v>2</v>
      </c>
      <c r="AI100" s="72" t="n">
        <v>2.5</v>
      </c>
      <c r="AJ100" s="72" t="n">
        <v>2.5</v>
      </c>
      <c r="AK100" s="7" t="inlineStr">
        <is>
          <t xml:space="preserve"> DEFINIR POSICIONAMENTO DE PAINEL E ATUADOR SE NECESSÁRIO ALTERAR POSICIONAMENTO; AVALIAR POSICIONAMENTO DO VARAL DOS BICOS QUE ATENDEM BOMBAS E TRANSMISSÃO POIS ESTÁ NA POSIÇÃO DOS DEMAIS 785;  REFAZER ROTAS E FIXAÇÕES DOS CABEAMENTOS DOS SENSORES E MANGUEIRAS;</t>
        </is>
      </c>
      <c r="AL100" s="58">
        <f>IFERROR(CALCULOS!H95,"NECESSÁRIO REVISAR DATASHEET")</f>
        <v/>
      </c>
      <c r="AM10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0" s="64">
        <f>SUM(Tabela2[[#This Row],[Nota de Prioridade Quantitativa(NOTAS: 1 PIOR NOTA; 5 MELHOR NOTA)]],Tabela2[[#This Row],[Nota de Prioridade Qualitativa(NOTAS: 1 PIOR NOTA;  5 MELHOR NOTA)]])</f>
        <v/>
      </c>
      <c r="AO100" s="7" t="n">
        <v>150376</v>
      </c>
      <c r="AP100" s="64">
        <f>SUM(Tabela2[[#This Row],[Nota de Prioridade Quantitativa(NOTAS: 1 PIOR NOTA; 5 MELHOR NOTA)]],Tabela2[[#This Row],[Nota de Prioridade Qualitativa(NOTAS: 1 PIOR NOTA;  5 MELHOR NOTA)]])</f>
        <v/>
      </c>
      <c r="AQ100" s="7" t="n"/>
      <c r="AR100" s="64">
        <f>SUM(Tabela2[[#This Row],[Nota de Prioridade Quantitativa(NOTAS: 1 PIOR NOTA; 5 MELHOR NOTA)]],Tabela2[[#This Row],[Nota de Prioridade Qualitativa(NOTAS: 1 PIOR NOTA;  5 MELHOR NOTA)]])</f>
        <v/>
      </c>
      <c r="AS100" s="7" t="n"/>
      <c r="AZ100" s="20">
        <f t="array" ref="AZ100">StatusCarga(G100,H100,J100,K100)</f>
        <v/>
      </c>
      <c r="BA100" s="20">
        <f>IF(AZ100="CONFORME","CONFORME ✓","NÃO CONFORME ✗")</f>
        <v/>
      </c>
      <c r="BB100" t="n">
        <v>0</v>
      </c>
      <c r="BC100" t="n">
        <v>90</v>
      </c>
      <c r="BD100" t="n">
        <v>0</v>
      </c>
      <c r="BE100" t="n">
        <v>0</v>
      </c>
      <c r="BF100" t="inlineStr">
        <is>
          <t>CONFORME</t>
        </is>
      </c>
    </row>
    <row r="101" hidden="1" ht="21.75" customHeight="1" thickBot="1">
      <c r="A101" s="77" t="inlineStr">
        <is>
          <t>Mariana</t>
        </is>
      </c>
      <c r="B101" s="77" t="inlineStr">
        <is>
          <t>Fazendão</t>
        </is>
      </c>
      <c r="C101" s="80" t="inlineStr">
        <is>
          <t>PF1121</t>
        </is>
      </c>
      <c r="D101" s="80" t="inlineStr">
        <is>
          <t>KIDDE</t>
        </is>
      </c>
      <c r="E101" s="78" t="inlineStr">
        <is>
          <t>CATERPILLAR</t>
        </is>
      </c>
      <c r="F101" s="80" t="inlineStr">
        <is>
          <t>CAT MD6240</t>
        </is>
      </c>
      <c r="G101" s="81">
        <f>IFERROR(IF(F101=$AB$2,"",VLOOKUP(F101,'DATASHEET EQUIPAMENTOS'!D:N,2,FALSE)),"")</f>
        <v/>
      </c>
      <c r="H101" s="82" t="inlineStr">
        <is>
          <t>3x50lbs</t>
        </is>
      </c>
      <c r="I101" s="57">
        <f>_xlfn.XLOOKUP(Tabela2[[#This Row],[Modelo]],'DATASHEET EQUIPAMENTOS'!D:D,'DATASHEET EQUIPAMENTOS'!P:P,"",0,1)</f>
        <v/>
      </c>
      <c r="J101" s="81">
        <f>IF(F101=$Z$2,"",VLOOKUP(F101,'DATASHEET EQUIPAMENTOS'!D:N,3,FALSE))</f>
        <v/>
      </c>
      <c r="K101" s="85" t="inlineStr">
        <is>
          <t>1x15gal</t>
        </is>
      </c>
      <c r="L101" s="95">
        <f>IF(AZ101="CONFORME","CONFORME ✓","NÃO CONFORME ✗")</f>
        <v/>
      </c>
      <c r="M101" s="102">
        <f>IF(F101=$Z$2,"",VLOOKUP(F101,'DATASHEET EQUIPAMENTOS'!D:N,4,FALSE))</f>
        <v/>
      </c>
      <c r="N101" s="103" t="inlineStr">
        <is>
          <t>Linear</t>
        </is>
      </c>
      <c r="O101" s="102">
        <f>IF(F101=$Z$2,"",VLOOKUP(F101,'DATASHEET EQUIPAMENTOS'!D:N,5,FALSE))</f>
        <v/>
      </c>
      <c r="P101" s="103" t="n"/>
      <c r="Q101" s="102">
        <f>IF(F101=$Z$2,"",VLOOKUP(F101,'DATASHEET EQUIPAMENTOS'!D:N,6,FALSE))</f>
        <v/>
      </c>
      <c r="R101" s="104" t="n"/>
      <c r="S101" s="95">
        <f>IF(Tabela2[[#This Row],[Instalado Sensor Motor]]="Linear","CONFORME ✓",IF(SUM(M101,O101,Q101)&lt;SUM(N101,P101,R101),"CONFORME ✓",IF(SUM(M101,O101,Q101)=SUM(N101,P101,R101),"CONFORME ✓","NÃO CONFORME ✗")))</f>
        <v/>
      </c>
      <c r="T101" s="91">
        <f>IF(F101=$Z$2,"",VLOOKUP(F101,'DATASHEET EQUIPAMENTOS'!D:N,7,FALSE))</f>
        <v/>
      </c>
      <c r="U101" s="57" t="n">
        <v>16</v>
      </c>
      <c r="V101" s="56">
        <f>IF(F101=$Z$2,"",VLOOKUP(F101,'DATASHEET EQUIPAMENTOS'!D:N,8,FALSE))</f>
        <v/>
      </c>
      <c r="W101" s="57" t="n">
        <v>2</v>
      </c>
      <c r="X101" s="56">
        <f>IF(F101=$Z$2,"",VLOOKUP(F101,'DATASHEET EQUIPAMENTOS'!D:N,9,FALSE))</f>
        <v/>
      </c>
      <c r="Y101" s="57" t="n">
        <v>6</v>
      </c>
      <c r="Z101" s="57">
        <f>IF(SUM(T101,V101,X101)&lt;=SUM(U101,W101,Y101),"CONFORME ✓",IF(SUM(T101,V101,X101)&gt;SUM(U101,W101,Y101),"NÃO CONFORME ✗"))</f>
        <v/>
      </c>
      <c r="AA101" s="56">
        <f>IF(F101=$Z$2,"",VLOOKUP(F101,'DATASHEET EQUIPAMENTOS'!D:N,10,FALSE))</f>
        <v/>
      </c>
      <c r="AB101" s="57" t="n">
        <v>10</v>
      </c>
      <c r="AC101" s="56">
        <f>IF(F101=$Z$2,"",VLOOKUP(F101,'DATASHEET EQUIPAMENTOS'!D:N,11,FALSE))</f>
        <v/>
      </c>
      <c r="AD101" s="57" t="n">
        <v>0</v>
      </c>
      <c r="AE101" s="56">
        <f>IF(F101=$Z$2,"",VLOOKUP(F101,'DATASHEET EQUIPAMENTOS'!D:O,12,FALSE))</f>
        <v/>
      </c>
      <c r="AF101" s="57" t="n">
        <v>0</v>
      </c>
      <c r="AG101" s="57">
        <f>IF(SUM(AA101,AC101,AE101)&lt;=SUM(AB101,AD101,AF101),"CONFORME ✓",IF(SUM(AA101,AC101,AE101)&gt;SUM(AB101,AD101,AF101),"NÃO CONFORME ✗"))</f>
        <v/>
      </c>
      <c r="AH101" s="72" t="n"/>
      <c r="AI101" s="72" t="n"/>
      <c r="AJ101" s="72" t="n"/>
      <c r="AK101" s="7" t="inlineStr">
        <is>
          <t>EQUIPAMENTO SISTEMA KIDDE,NAO POSSUI SENSORES.NECESSARIO REVISAR PASSAGEM DO CABO LINEAR E MATERIAL DE PROTEÇÃO DO PRÓPRIO</t>
        </is>
      </c>
      <c r="AL101" s="58">
        <f>IFERROR(CALCULOS!H96,"NECESSÁRIO REVISAR DATASHEET")</f>
        <v/>
      </c>
      <c r="AM10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1" s="64">
        <f>SUM(Tabela2[[#This Row],[Nota de Prioridade Quantitativa(NOTAS: 1 PIOR NOTA; 5 MELHOR NOTA)]],Tabela2[[#This Row],[Nota de Prioridade Qualitativa(NOTAS: 1 PIOR NOTA;  5 MELHOR NOTA)]])</f>
        <v/>
      </c>
      <c r="AO101" s="7" t="n">
        <v>151678</v>
      </c>
      <c r="AP101" s="64">
        <f>SUM(Tabela2[[#This Row],[Nota de Prioridade Quantitativa(NOTAS: 1 PIOR NOTA; 5 MELHOR NOTA)]],Tabela2[[#This Row],[Nota de Prioridade Qualitativa(NOTAS: 1 PIOR NOTA;  5 MELHOR NOTA)]])</f>
        <v/>
      </c>
      <c r="AQ101" s="7" t="n"/>
      <c r="AR101" s="64">
        <f>SUM(Tabela2[[#This Row],[Nota de Prioridade Quantitativa(NOTAS: 1 PIOR NOTA; 5 MELHOR NOTA)]],Tabela2[[#This Row],[Nota de Prioridade Qualitativa(NOTAS: 1 PIOR NOTA;  5 MELHOR NOTA)]])</f>
        <v/>
      </c>
      <c r="AS101" s="7" t="n"/>
      <c r="AZ101" s="20">
        <f t="array" ref="AZ101">StatusCarga(G101,H101,J101,K101)</f>
        <v/>
      </c>
      <c r="BA101" s="20">
        <f>IF(AZ101="CONFORME","CONFORME ✓","NÃO CONFORME ✗")</f>
        <v/>
      </c>
      <c r="BB101" t="n">
        <v>0</v>
      </c>
      <c r="BC101" t="n">
        <v>150</v>
      </c>
      <c r="BD101" t="n">
        <v>0</v>
      </c>
      <c r="BE101" t="n">
        <v>15</v>
      </c>
      <c r="BF101" t="inlineStr">
        <is>
          <t>CONFORME</t>
        </is>
      </c>
    </row>
    <row r="102" hidden="1" ht="21.75" customHeight="1" thickBot="1">
      <c r="A102" s="77" t="inlineStr">
        <is>
          <t>Mariana</t>
        </is>
      </c>
      <c r="B102" s="77" t="inlineStr">
        <is>
          <t>Fazendão</t>
        </is>
      </c>
      <c r="C102" s="80" t="inlineStr">
        <is>
          <t>PM6521</t>
        </is>
      </c>
      <c r="D102" s="80" t="inlineStr">
        <is>
          <t>AFEX</t>
        </is>
      </c>
      <c r="E102" s="78" t="inlineStr">
        <is>
          <t>CATERPILLAR</t>
        </is>
      </c>
      <c r="F102" s="80" t="inlineStr">
        <is>
          <t>CAT 990H</t>
        </is>
      </c>
      <c r="G102" s="81">
        <f>IFERROR(IF(F102=$AB$2,"",VLOOKUP(F102,'DATASHEET EQUIPAMENTOS'!D:N,2,FALSE)),"")</f>
        <v/>
      </c>
      <c r="H102" s="82" t="inlineStr">
        <is>
          <t>3x30lbs</t>
        </is>
      </c>
      <c r="I102" s="57">
        <f>_xlfn.XLOOKUP(Tabela2[[#This Row],[Modelo]],'DATASHEET EQUIPAMENTOS'!D:D,'DATASHEET EQUIPAMENTOS'!P:P,"",0,1)</f>
        <v/>
      </c>
      <c r="J102" s="81">
        <f>IF(F102=$Z$2,"",VLOOKUP(F102,'DATASHEET EQUIPAMENTOS'!D:N,3,FALSE))</f>
        <v/>
      </c>
      <c r="K102" s="85" t="n">
        <v>0</v>
      </c>
      <c r="L102" s="95">
        <f>IF(AZ102="CONFORME","CONFORME ✓","NÃO CONFORME ✗")</f>
        <v/>
      </c>
      <c r="M102" s="102">
        <f>IF(F102=$Z$2,"",VLOOKUP(F102,'DATASHEET EQUIPAMENTOS'!D:N,4,FALSE))</f>
        <v/>
      </c>
      <c r="N102" s="103" t="n">
        <v>4</v>
      </c>
      <c r="O102" s="102">
        <f>IF(F102=$Z$2,"",VLOOKUP(F102,'DATASHEET EQUIPAMENTOS'!D:N,5,FALSE))</f>
        <v/>
      </c>
      <c r="P102" s="103" t="n">
        <v>2</v>
      </c>
      <c r="Q102" s="102">
        <f>IF(F102=$Z$2,"",VLOOKUP(F102,'DATASHEET EQUIPAMENTOS'!D:N,6,FALSE))</f>
        <v/>
      </c>
      <c r="R102" s="104" t="n">
        <v>1</v>
      </c>
      <c r="S102" s="95">
        <f>IF(Tabela2[[#This Row],[Instalado Sensor Motor]]="Linear","CONFORME ✓",IF(SUM(M102,O102,Q102)&lt;SUM(N102,P102,R102),"CONFORME ✓",IF(SUM(M102,O102,Q102)=SUM(N102,P102,R102),"CONFORME ✓","NÃO CONFORME ✗")))</f>
        <v/>
      </c>
      <c r="T102" s="91">
        <f>IF(F102=$Z$2,"",VLOOKUP(F102,'DATASHEET EQUIPAMENTOS'!D:N,7,FALSE))</f>
        <v/>
      </c>
      <c r="U102" s="57" t="n">
        <v>12</v>
      </c>
      <c r="V102" s="56">
        <f>IF(F102=$Z$2,"",VLOOKUP(F102,'DATASHEET EQUIPAMENTOS'!D:N,8,FALSE))</f>
        <v/>
      </c>
      <c r="W102" s="57" t="n">
        <v>3</v>
      </c>
      <c r="X102" s="56">
        <f>IF(F102=$Z$2,"",VLOOKUP(F102,'DATASHEET EQUIPAMENTOS'!D:N,9,FALSE))</f>
        <v/>
      </c>
      <c r="Y102" s="57" t="n">
        <v>3</v>
      </c>
      <c r="Z102" s="57">
        <f>IF(SUM(T102,V102,X102)&lt;=SUM(U102,W102,Y102),"CONFORME ✓",IF(SUM(T102,V102,X102)&gt;SUM(U102,W102,Y102),"NÃO CONFORME ✗"))</f>
        <v/>
      </c>
      <c r="AA102" s="56">
        <f>IF(F102=$Z$2,"",VLOOKUP(F102,'DATASHEET EQUIPAMENTOS'!D:N,10,FALSE))</f>
        <v/>
      </c>
      <c r="AB102" s="57" t="n"/>
      <c r="AC102" s="56">
        <f>IF(F102=$Z$2,"",VLOOKUP(F102,'DATASHEET EQUIPAMENTOS'!D:N,11,FALSE))</f>
        <v/>
      </c>
      <c r="AD102" s="57" t="n"/>
      <c r="AE102" s="56">
        <f>IF(F102=$Z$2,"",VLOOKUP(F102,'DATASHEET EQUIPAMENTOS'!D:O,12,FALSE))</f>
        <v/>
      </c>
      <c r="AF102" s="57" t="n"/>
      <c r="AG102" s="57">
        <f>IF(SUM(AA102,AC102,AE102)&lt;=SUM(AB102,AD102,AF102),"CONFORME ✓",IF(SUM(AA102,AC102,AE102)&gt;SUM(AB102,AD102,AF102),"NÃO CONFORME ✗"))</f>
        <v/>
      </c>
      <c r="AH102" s="72" t="n">
        <v>2.5</v>
      </c>
      <c r="AI102" s="72" t="n">
        <v>2.5</v>
      </c>
      <c r="AJ102" s="72" t="n">
        <v>3.5</v>
      </c>
      <c r="AK102" s="7" t="inlineStr">
        <is>
          <t>REFAZER ROTAS E FIXAÇÕES DOS CABEAMENTOS DOS SENSORES E MANGUEIRAS; DEFINIR LOCAL DE FIXAÇÃO DO PAÍNEL E ALTERAR SE NECESSÁRIO</t>
        </is>
      </c>
      <c r="AL102" s="58">
        <f>IFERROR(CALCULOS!H97,"NECESSÁRIO REVISAR DATASHEET")</f>
        <v/>
      </c>
      <c r="AM10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2" s="64">
        <f>SUM(Tabela2[[#This Row],[Nota de Prioridade Quantitativa(NOTAS: 1 PIOR NOTA; 5 MELHOR NOTA)]],Tabela2[[#This Row],[Nota de Prioridade Qualitativa(NOTAS: 1 PIOR NOTA;  5 MELHOR NOTA)]])</f>
        <v/>
      </c>
      <c r="AO102" s="7" t="n">
        <v>151677</v>
      </c>
      <c r="AP102" s="64">
        <f>SUM(Tabela2[[#This Row],[Nota de Prioridade Quantitativa(NOTAS: 1 PIOR NOTA; 5 MELHOR NOTA)]],Tabela2[[#This Row],[Nota de Prioridade Qualitativa(NOTAS: 1 PIOR NOTA;  5 MELHOR NOTA)]])</f>
        <v/>
      </c>
      <c r="AQ102" s="7" t="n"/>
      <c r="AR102" s="64">
        <f>SUM(Tabela2[[#This Row],[Nota de Prioridade Quantitativa(NOTAS: 1 PIOR NOTA; 5 MELHOR NOTA)]],Tabela2[[#This Row],[Nota de Prioridade Qualitativa(NOTAS: 1 PIOR NOTA;  5 MELHOR NOTA)]])</f>
        <v/>
      </c>
      <c r="AS102" s="7" t="n"/>
      <c r="AZ102" s="20">
        <f t="array" ref="AZ102">StatusCarga(G102,H102,J102,K102)</f>
        <v/>
      </c>
      <c r="BA102" s="20">
        <f>IF(AZ102="CONFORME","CONFORME ✓","NÃO CONFORME ✗")</f>
        <v/>
      </c>
      <c r="BB102" t="n">
        <v>0</v>
      </c>
      <c r="BC102" t="n">
        <v>90</v>
      </c>
      <c r="BD102" t="n">
        <v>0</v>
      </c>
      <c r="BE102" t="n">
        <v>0</v>
      </c>
      <c r="BF102" t="inlineStr">
        <is>
          <t>CONFORME</t>
        </is>
      </c>
    </row>
    <row r="103" hidden="1" ht="21.75" customHeight="1" thickBot="1">
      <c r="A103" s="77" t="inlineStr">
        <is>
          <t>Paraoupeba</t>
        </is>
      </c>
      <c r="B103" s="77" t="inlineStr">
        <is>
          <t>Horizontes</t>
        </is>
      </c>
      <c r="C103" s="80" t="inlineStr">
        <is>
          <t>EM3705</t>
        </is>
      </c>
      <c r="D103" s="80" t="inlineStr">
        <is>
          <t>KIDDE</t>
        </is>
      </c>
      <c r="E103" s="78" t="inlineStr">
        <is>
          <t>CATERPILLAR</t>
        </is>
      </c>
      <c r="F103" s="80" t="inlineStr">
        <is>
          <t>CAT 365C</t>
        </is>
      </c>
      <c r="G103" s="81">
        <f>IFERROR(IF(F103=$AB$2,"",VLOOKUP(F103,'DATASHEET EQUIPAMENTOS'!D:N,2,FALSE)),"")</f>
        <v/>
      </c>
      <c r="H103" s="82" t="inlineStr">
        <is>
          <t>1x50lbs</t>
        </is>
      </c>
      <c r="I103" s="57">
        <f>_xlfn.XLOOKUP(Tabela2[[#This Row],[Modelo]],'DATASHEET EQUIPAMENTOS'!D:D,'DATASHEET EQUIPAMENTOS'!P:P,"",0,1)</f>
        <v/>
      </c>
      <c r="J103" s="81">
        <f>IF(F103=$Z$2,"",VLOOKUP(F103,'DATASHEET EQUIPAMENTOS'!D:N,3,FALSE))</f>
        <v/>
      </c>
      <c r="K103" s="85" t="n">
        <v>0</v>
      </c>
      <c r="L103" s="95">
        <f>IF(AZ103="CONFORME","CONFORME ✓","NÃO CONFORME ✗")</f>
        <v/>
      </c>
      <c r="M103" s="102">
        <f>IF(F103=$Z$2,"",VLOOKUP(F103,'DATASHEET EQUIPAMENTOS'!D:N,4,FALSE))</f>
        <v/>
      </c>
      <c r="N103" s="103" t="inlineStr">
        <is>
          <t>Linear</t>
        </is>
      </c>
      <c r="O103" s="102">
        <f>IF(F103=$Z$2,"",VLOOKUP(F103,'DATASHEET EQUIPAMENTOS'!D:N,5,FALSE))</f>
        <v/>
      </c>
      <c r="P103" s="103" t="n"/>
      <c r="Q103" s="102">
        <f>IF(F103=$Z$2,"",VLOOKUP(F103,'DATASHEET EQUIPAMENTOS'!D:N,6,FALSE))</f>
        <v/>
      </c>
      <c r="R103" s="104" t="n"/>
      <c r="S103" s="95">
        <f>IF(Tabela2[[#This Row],[Instalado Sensor Motor]]="Linear","CONFORME ✓",IF(SUM(M103,O103,Q103)&lt;SUM(N103,P103,R103),"CONFORME ✓",IF(SUM(M103,O103,Q103)=SUM(N103,P103,R103),"CONFORME ✓","NÃO CONFORME ✗")))</f>
        <v/>
      </c>
      <c r="T103" s="91">
        <f>IF(F103=$Z$2,"",VLOOKUP(F103,'DATASHEET EQUIPAMENTOS'!D:N,7,FALSE))</f>
        <v/>
      </c>
      <c r="U103" s="57" t="n">
        <v>4</v>
      </c>
      <c r="V103" s="56">
        <f>IF(F103=$Z$2,"",VLOOKUP(F103,'DATASHEET EQUIPAMENTOS'!D:N,8,FALSE))</f>
        <v/>
      </c>
      <c r="W103" s="57" t="n">
        <v>3</v>
      </c>
      <c r="X103" s="56">
        <f>IF(F103=$Z$2,"",VLOOKUP(F103,'DATASHEET EQUIPAMENTOS'!D:N,9,FALSE))</f>
        <v/>
      </c>
      <c r="Y103" s="57" t="n">
        <v>1</v>
      </c>
      <c r="Z103" s="57">
        <f>IF(SUM(T103,V103,X103)&lt;=SUM(U103,W103,Y103),"CONFORME ✓",IF(SUM(T103,V103,X103)&gt;SUM(U103,W103,Y103),"NÃO CONFORME ✗"))</f>
        <v/>
      </c>
      <c r="AA103" s="56">
        <f>IF(F103=$Z$2,"",VLOOKUP(F103,'DATASHEET EQUIPAMENTOS'!D:N,10,FALSE))</f>
        <v/>
      </c>
      <c r="AB103" s="57" t="n">
        <v>0</v>
      </c>
      <c r="AC103" s="56">
        <f>IF(F103=$Z$2,"",VLOOKUP(F103,'DATASHEET EQUIPAMENTOS'!D:N,11,FALSE))</f>
        <v/>
      </c>
      <c r="AD103" s="57" t="n">
        <v>0</v>
      </c>
      <c r="AE103" s="56">
        <f>IF(F103=$Z$2,"",VLOOKUP(F103,'DATASHEET EQUIPAMENTOS'!D:O,12,FALSE))</f>
        <v/>
      </c>
      <c r="AF103" s="57" t="n">
        <v>0</v>
      </c>
      <c r="AG103" s="57">
        <f>IF(SUM(AA103,AC103,AE103)&lt;=SUM(AB103,AD103,AF103),"CONFORME ✓",IF(SUM(AA103,AC103,AE103)&gt;SUM(AB103,AD103,AF103),"NÃO CONFORME ✗"))</f>
        <v/>
      </c>
      <c r="AH103" s="72" t="n">
        <v>2</v>
      </c>
      <c r="AI103" s="72" t="n">
        <v>1</v>
      </c>
      <c r="AJ103" s="72" t="n">
        <v>5</v>
      </c>
      <c r="AK103" s="7" t="inlineStr">
        <is>
          <t>O EQUIPAMENTO NAO POSSUI CILINDRO DE AGENTE LÍQUIDO, ACRESCENTAR 40LBS DE PQS, ACRESCENTAR 5 BICOS DIFUSORES DE PQS, ADEQUAÇÕES DOS CABEAMENTOS COM FIXAÇÃO ADEQUADA</t>
        </is>
      </c>
      <c r="AL103" s="58">
        <f>IFERROR(CALCULOS!H98,"NECESSÁRIO REVISAR DATASHEET")</f>
        <v/>
      </c>
      <c r="AM10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3" s="64">
        <f>SUM(Tabela2[[#This Row],[Nota de Prioridade Quantitativa(NOTAS: 1 PIOR NOTA; 5 MELHOR NOTA)]],Tabela2[[#This Row],[Nota de Prioridade Qualitativa(NOTAS: 1 PIOR NOTA;  5 MELHOR NOTA)]])</f>
        <v/>
      </c>
      <c r="AO103" s="7" t="n">
        <v>151137</v>
      </c>
      <c r="AP103" s="64">
        <f>SUM(Tabela2[[#This Row],[Nota de Prioridade Quantitativa(NOTAS: 1 PIOR NOTA; 5 MELHOR NOTA)]],Tabela2[[#This Row],[Nota de Prioridade Qualitativa(NOTAS: 1 PIOR NOTA;  5 MELHOR NOTA)]])</f>
        <v/>
      </c>
      <c r="AQ103" s="7" t="n"/>
      <c r="AR103" s="64">
        <f>SUM(Tabela2[[#This Row],[Nota de Prioridade Quantitativa(NOTAS: 1 PIOR NOTA; 5 MELHOR NOTA)]],Tabela2[[#This Row],[Nota de Prioridade Qualitativa(NOTAS: 1 PIOR NOTA;  5 MELHOR NOTA)]])</f>
        <v/>
      </c>
      <c r="AS103" s="7" t="n"/>
      <c r="AZ103" s="20">
        <f t="array" ref="AZ103">StatusCarga(G103,H103,J103,K103)</f>
        <v/>
      </c>
      <c r="BA103" s="20">
        <f>IF(AZ103="CONFORME","CONFORME ✓","NÃO CONFORME ✗")</f>
        <v/>
      </c>
      <c r="BB103" t="n">
        <v>0</v>
      </c>
      <c r="BC103" t="n">
        <v>50</v>
      </c>
      <c r="BD103" t="n">
        <v>0</v>
      </c>
      <c r="BE103" t="n">
        <v>0</v>
      </c>
      <c r="BF103" t="inlineStr">
        <is>
          <t>CONFORME</t>
        </is>
      </c>
    </row>
    <row r="104" hidden="1" ht="21.75" customHeight="1" thickBot="1">
      <c r="A104" s="77" t="inlineStr">
        <is>
          <t>Paraoupeba</t>
        </is>
      </c>
      <c r="B104" s="77" t="inlineStr">
        <is>
          <t>Fábrica</t>
        </is>
      </c>
      <c r="C104" s="80" t="inlineStr">
        <is>
          <t>MN1153</t>
        </is>
      </c>
      <c r="D104" s="80" t="inlineStr">
        <is>
          <t>AFEX</t>
        </is>
      </c>
      <c r="E104" s="78" t="inlineStr">
        <is>
          <t>CATERPILLAR</t>
        </is>
      </c>
      <c r="F104" s="80" t="inlineStr">
        <is>
          <t>cat 16M</t>
        </is>
      </c>
      <c r="G104" s="81">
        <f>IFERROR(IF(F104=$AB$2,"",VLOOKUP(F104,'DATASHEET EQUIPAMENTOS'!D:N,2,FALSE)),"")</f>
        <v/>
      </c>
      <c r="H104" s="82" t="inlineStr">
        <is>
          <t>1x60lbs</t>
        </is>
      </c>
      <c r="I104" s="57">
        <f>_xlfn.XLOOKUP(Tabela2[[#This Row],[Modelo]],'DATASHEET EQUIPAMENTOS'!D:D,'DATASHEET EQUIPAMENTOS'!P:P,"",0,1)</f>
        <v/>
      </c>
      <c r="J104" s="81">
        <f>IF(F104=$Z$2,"",VLOOKUP(F104,'DATASHEET EQUIPAMENTOS'!D:N,3,FALSE))</f>
        <v/>
      </c>
      <c r="K104" s="85" t="n">
        <v>0</v>
      </c>
      <c r="L104" s="95">
        <f>IF(AZ104="CONFORME","CONFORME ✓","NÃO CONFORME ✗")</f>
        <v/>
      </c>
      <c r="M104" s="102">
        <f>IF(F104=$Z$2,"",VLOOKUP(F104,'DATASHEET EQUIPAMENTOS'!D:N,4,FALSE))</f>
        <v/>
      </c>
      <c r="N104" s="103" t="n">
        <v>3</v>
      </c>
      <c r="O104" s="102">
        <f>IF(F104=$Z$2,"",VLOOKUP(F104,'DATASHEET EQUIPAMENTOS'!D:N,5,FALSE))</f>
        <v/>
      </c>
      <c r="P104" s="103" t="n">
        <v>1</v>
      </c>
      <c r="Q104" s="102">
        <f>IF(F104=$Z$2,"",VLOOKUP(F104,'DATASHEET EQUIPAMENTOS'!D:N,6,FALSE))</f>
        <v/>
      </c>
      <c r="R104" s="104" t="n">
        <v>1</v>
      </c>
      <c r="S104" s="95">
        <f>IF(Tabela2[[#This Row],[Instalado Sensor Motor]]="Linear","CONFORME ✓",IF(SUM(M104,O104,Q104)&lt;SUM(N104,P104,R104),"CONFORME ✓",IF(SUM(M104,O104,Q104)=SUM(N104,P104,R104),"CONFORME ✓","NÃO CONFORME ✗")))</f>
        <v/>
      </c>
      <c r="T104" s="91">
        <f>IF(F104=$Z$2,"",VLOOKUP(F104,'DATASHEET EQUIPAMENTOS'!D:N,7,FALSE))</f>
        <v/>
      </c>
      <c r="U104" s="57" t="n">
        <v>12</v>
      </c>
      <c r="V104" s="56">
        <f>IF(F104=$Z$2,"",VLOOKUP(F104,'DATASHEET EQUIPAMENTOS'!D:N,8,FALSE))</f>
        <v/>
      </c>
      <c r="W104" s="57" t="n"/>
      <c r="X104" s="56">
        <f>IF(F104=$Z$2,"",VLOOKUP(F104,'DATASHEET EQUIPAMENTOS'!D:N,9,FALSE))</f>
        <v/>
      </c>
      <c r="Y104" s="57" t="n"/>
      <c r="Z104" s="57">
        <f>IF(SUM(T104,V104,X104)&lt;=SUM(U104,W104,Y104),"CONFORME ✓",IF(SUM(T104,V104,X104)&gt;SUM(U104,W104,Y104),"NÃO CONFORME ✗"))</f>
        <v/>
      </c>
      <c r="AA104" s="56">
        <f>IF(F104=$Z$2,"",VLOOKUP(F104,'DATASHEET EQUIPAMENTOS'!D:N,10,FALSE))</f>
        <v/>
      </c>
      <c r="AB104" s="57" t="n"/>
      <c r="AC104" s="56">
        <f>IF(F104=$Z$2,"",VLOOKUP(F104,'DATASHEET EQUIPAMENTOS'!D:N,11,FALSE))</f>
        <v/>
      </c>
      <c r="AD104" s="57" t="n"/>
      <c r="AE104" s="56">
        <f>IF(F104=$Z$2,"",VLOOKUP(F104,'DATASHEET EQUIPAMENTOS'!D:O,12,FALSE))</f>
        <v/>
      </c>
      <c r="AF104" s="57" t="n"/>
      <c r="AG104" s="57">
        <f>IF(SUM(AA104,AC104,AE104)&lt;=SUM(AB104,AD104,AF104),"CONFORME ✓",IF(SUM(AA104,AC104,AE104)&gt;SUM(AB104,AD104,AF104),"NÃO CONFORME ✗"))</f>
        <v/>
      </c>
      <c r="AH104" s="72" t="n">
        <v>3</v>
      </c>
      <c r="AI104" s="72" t="n">
        <v>2.5</v>
      </c>
      <c r="AJ104" s="72" t="n">
        <v>5</v>
      </c>
      <c r="AK104" s="7" t="inlineStr">
        <is>
          <t xml:space="preserve">ADEQUAR QUANTIDADE DE SENSORES E BICOS PQS NAS BOMBAS E TRANSMISSÃO; </t>
        </is>
      </c>
      <c r="AL104" s="58">
        <f>IFERROR(CALCULOS!H99,"NECESSÁRIO REVISAR DATASHEET")</f>
        <v/>
      </c>
      <c r="AM10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4" s="64">
        <f>SUM(Tabela2[[#This Row],[Nota de Prioridade Quantitativa(NOTAS: 1 PIOR NOTA; 5 MELHOR NOTA)]],Tabela2[[#This Row],[Nota de Prioridade Qualitativa(NOTAS: 1 PIOR NOTA;  5 MELHOR NOTA)]])</f>
        <v/>
      </c>
      <c r="AO104" s="7" t="n">
        <v>150217</v>
      </c>
      <c r="AP104" s="64">
        <f>SUM(Tabela2[[#This Row],[Nota de Prioridade Quantitativa(NOTAS: 1 PIOR NOTA; 5 MELHOR NOTA)]],Tabela2[[#This Row],[Nota de Prioridade Qualitativa(NOTAS: 1 PIOR NOTA;  5 MELHOR NOTA)]])</f>
        <v/>
      </c>
      <c r="AQ104" s="7" t="n"/>
      <c r="AR104" s="64">
        <f>SUM(Tabela2[[#This Row],[Nota de Prioridade Quantitativa(NOTAS: 1 PIOR NOTA; 5 MELHOR NOTA)]],Tabela2[[#This Row],[Nota de Prioridade Qualitativa(NOTAS: 1 PIOR NOTA;  5 MELHOR NOTA)]])</f>
        <v/>
      </c>
      <c r="AS104" s="7" t="n"/>
      <c r="AZ104" s="20">
        <f t="array" ref="AZ104">StatusCarga(G104,H104,J104,K104)</f>
        <v/>
      </c>
      <c r="BA104" s="20">
        <f>IF(AZ104="CONFORME","CONFORME ✓","NÃO CONFORME ✗")</f>
        <v/>
      </c>
      <c r="BB104" t="n">
        <v>0</v>
      </c>
      <c r="BC104" t="n">
        <v>60</v>
      </c>
      <c r="BD104" t="n">
        <v>0</v>
      </c>
      <c r="BE104" t="n">
        <v>0</v>
      </c>
      <c r="BF104" t="inlineStr">
        <is>
          <t>CONFORME</t>
        </is>
      </c>
    </row>
    <row r="105" hidden="1" ht="21.75" customHeight="1" thickBot="1">
      <c r="A105" s="77" t="inlineStr">
        <is>
          <t>VGR</t>
        </is>
      </c>
      <c r="B105" s="77" t="inlineStr">
        <is>
          <t>Aboboras</t>
        </is>
      </c>
      <c r="C105" s="80" t="inlineStr">
        <is>
          <t>EM3012</t>
        </is>
      </c>
      <c r="D105" s="80" t="inlineStr">
        <is>
          <t>AFEX</t>
        </is>
      </c>
      <c r="E105" s="78" t="inlineStr">
        <is>
          <t>KOMATSU</t>
        </is>
      </c>
      <c r="F105" s="80" t="inlineStr">
        <is>
          <t>KOMATSU PC2000</t>
        </is>
      </c>
      <c r="G105" s="81">
        <f>IFERROR(IF(F105=$AB$2,"",VLOOKUP(F105,'DATASHEET EQUIPAMENTOS'!D:N,2,FALSE)),"")</f>
        <v/>
      </c>
      <c r="H105" s="82" t="inlineStr">
        <is>
          <t>6x30lbs</t>
        </is>
      </c>
      <c r="I105" s="57">
        <f>_xlfn.XLOOKUP(Tabela2[[#This Row],[Modelo]],'DATASHEET EQUIPAMENTOS'!D:D,'DATASHEET EQUIPAMENTOS'!P:P,"",0,1)</f>
        <v/>
      </c>
      <c r="J105" s="81">
        <f>IF(F105=$Z$2,"",VLOOKUP(F105,'DATASHEET EQUIPAMENTOS'!D:N,3,FALSE))</f>
        <v/>
      </c>
      <c r="K105" s="85" t="n">
        <v>0</v>
      </c>
      <c r="L105" s="95">
        <f>IF(AZ105="CONFORME","CONFORME ✓","NÃO CONFORME ✗")</f>
        <v/>
      </c>
      <c r="M105" s="102">
        <f>IF(F105=$Z$2,"",VLOOKUP(F105,'DATASHEET EQUIPAMENTOS'!D:N,4,FALSE))</f>
        <v/>
      </c>
      <c r="N105" s="103" t="n">
        <v>8</v>
      </c>
      <c r="O105" s="102">
        <f>IF(F105=$Z$2,"",VLOOKUP(F105,'DATASHEET EQUIPAMENTOS'!D:N,5,FALSE))</f>
        <v/>
      </c>
      <c r="P105" s="103" t="n">
        <v>2</v>
      </c>
      <c r="Q105" s="102">
        <f>IF(F105=$Z$2,"",VLOOKUP(F105,'DATASHEET EQUIPAMENTOS'!D:N,6,FALSE))</f>
        <v/>
      </c>
      <c r="R105" s="104" t="n">
        <v>3</v>
      </c>
      <c r="S105" s="95">
        <f>IF(Tabela2[[#This Row],[Instalado Sensor Motor]]="Linear","CONFORME ✓",IF(SUM(M105,O105,Q105)&lt;SUM(N105,P105,R105),"CONFORME ✓",IF(SUM(M105,O105,Q105)=SUM(N105,P105,R105),"CONFORME ✓","NÃO CONFORME ✗")))</f>
        <v/>
      </c>
      <c r="T105" s="91">
        <f>IF(F105=$Z$2,"",VLOOKUP(F105,'DATASHEET EQUIPAMENTOS'!D:N,7,FALSE))</f>
        <v/>
      </c>
      <c r="U105" s="57" t="n">
        <v>24</v>
      </c>
      <c r="V105" s="56">
        <f>IF(F105=$Z$2,"",VLOOKUP(F105,'DATASHEET EQUIPAMENTOS'!D:N,8,FALSE))</f>
        <v/>
      </c>
      <c r="W105" s="57" t="n">
        <v>6</v>
      </c>
      <c r="X105" s="56">
        <f>IF(F105=$Z$2,"",VLOOKUP(F105,'DATASHEET EQUIPAMENTOS'!D:N,9,FALSE))</f>
        <v/>
      </c>
      <c r="Y105" s="57" t="n">
        <v>6</v>
      </c>
      <c r="Z105" s="57">
        <f>IF(SUM(T105,V105,X105)&lt;=SUM(U105,W105,Y105),"CONFORME ✓",IF(SUM(T105,V105,X105)&gt;SUM(U105,W105,Y105),"NÃO CONFORME ✗"))</f>
        <v/>
      </c>
      <c r="AA105" s="56">
        <f>IF(F105=$Z$2,"",VLOOKUP(F105,'DATASHEET EQUIPAMENTOS'!D:N,10,FALSE))</f>
        <v/>
      </c>
      <c r="AB105" s="57" t="n"/>
      <c r="AC105" s="56">
        <f>IF(F105=$Z$2,"",VLOOKUP(F105,'DATASHEET EQUIPAMENTOS'!D:N,11,FALSE))</f>
        <v/>
      </c>
      <c r="AD105" s="57" t="n"/>
      <c r="AE105" s="56">
        <f>IF(F105=$Z$2,"",VLOOKUP(F105,'DATASHEET EQUIPAMENTOS'!D:O,12,FALSE))</f>
        <v/>
      </c>
      <c r="AF105" s="57" t="n"/>
      <c r="AG105" s="57">
        <f>IF(SUM(AA105,AC105,AE105)&lt;=SUM(AB105,AD105,AF105),"CONFORME ✓",IF(SUM(AA105,AC105,AE105)&gt;SUM(AB105,AD105,AF105),"NÃO CONFORME ✗"))</f>
        <v/>
      </c>
      <c r="AH105" s="72" t="n">
        <v>2.5</v>
      </c>
      <c r="AI105" s="72" t="n">
        <v>2.5</v>
      </c>
      <c r="AJ105" s="72" t="n">
        <v>2.5</v>
      </c>
      <c r="AK105" s="7" t="inlineStr">
        <is>
          <t>REPOSICIONAR PAINEL DE MONITORAMENTO; REPOSICIONAR CABOS DE SENSORES; REPOSICONAR MANGUEIRAS DE AGENTE PQS</t>
        </is>
      </c>
      <c r="AL105" s="58">
        <f>IFERROR(CALCULOS!H100,"NECESSÁRIO REVISAR DATASHEET")</f>
        <v/>
      </c>
      <c r="AM10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5" s="64">
        <f>SUM(Tabela2[[#This Row],[Nota de Prioridade Quantitativa(NOTAS: 1 PIOR NOTA; 5 MELHOR NOTA)]],Tabela2[[#This Row],[Nota de Prioridade Qualitativa(NOTAS: 1 PIOR NOTA;  5 MELHOR NOTA)]])</f>
        <v/>
      </c>
      <c r="AO105" s="7" t="n">
        <v>150839</v>
      </c>
      <c r="AP105" s="64">
        <f>SUM(Tabela2[[#This Row],[Nota de Prioridade Quantitativa(NOTAS: 1 PIOR NOTA; 5 MELHOR NOTA)]],Tabela2[[#This Row],[Nota de Prioridade Qualitativa(NOTAS: 1 PIOR NOTA;  5 MELHOR NOTA)]])</f>
        <v/>
      </c>
      <c r="AQ105" s="7" t="n"/>
      <c r="AR105" s="64">
        <f>SUM(Tabela2[[#This Row],[Nota de Prioridade Quantitativa(NOTAS: 1 PIOR NOTA; 5 MELHOR NOTA)]],Tabela2[[#This Row],[Nota de Prioridade Qualitativa(NOTAS: 1 PIOR NOTA;  5 MELHOR NOTA)]])</f>
        <v/>
      </c>
      <c r="AS105" s="7" t="n"/>
      <c r="AZ105" s="20">
        <f t="array" ref="AZ105">StatusCarga(G105,H105,J105,K105)</f>
        <v/>
      </c>
      <c r="BA105" s="20">
        <f>IF(AZ105="CONFORME","CONFORME ✓","NÃO CONFORME ✗")</f>
        <v/>
      </c>
      <c r="BB105" t="n">
        <v>0</v>
      </c>
      <c r="BC105" t="n">
        <v>180</v>
      </c>
      <c r="BD105" t="n">
        <v>0</v>
      </c>
      <c r="BE105" t="n">
        <v>0</v>
      </c>
      <c r="BF105" t="inlineStr">
        <is>
          <t>CONFORME</t>
        </is>
      </c>
    </row>
    <row r="106" hidden="1" ht="21.75" customHeight="1" thickBot="1">
      <c r="A106" s="77" t="inlineStr">
        <is>
          <t>VGR</t>
        </is>
      </c>
      <c r="B106" s="77" t="inlineStr">
        <is>
          <t>Aboboras</t>
        </is>
      </c>
      <c r="C106" s="80" t="inlineStr">
        <is>
          <t>CA5473</t>
        </is>
      </c>
      <c r="D106" s="80" t="inlineStr">
        <is>
          <t>AFEX</t>
        </is>
      </c>
      <c r="E106" s="78" t="inlineStr">
        <is>
          <t>CATERPILLAR</t>
        </is>
      </c>
      <c r="F106" s="80" t="inlineStr">
        <is>
          <t>cat 789</t>
        </is>
      </c>
      <c r="G106" s="81">
        <f>IFERROR(IF(F106=$AB$2,"",VLOOKUP(F106,'DATASHEET EQUIPAMENTOS'!D:N,2,FALSE)),"")</f>
        <v/>
      </c>
      <c r="H106" s="82" t="inlineStr">
        <is>
          <t>4x30lbs</t>
        </is>
      </c>
      <c r="I106" s="57">
        <f>_xlfn.XLOOKUP(Tabela2[[#This Row],[Modelo]],'DATASHEET EQUIPAMENTOS'!D:D,'DATASHEET EQUIPAMENTOS'!P:P,"",0,1)</f>
        <v/>
      </c>
      <c r="J106" s="81">
        <f>IF(F106=$Z$2,"",VLOOKUP(F106,'DATASHEET EQUIPAMENTOS'!D:N,3,FALSE))</f>
        <v/>
      </c>
      <c r="K106" s="85" t="n">
        <v>0</v>
      </c>
      <c r="L106" s="95">
        <f>IF(AZ106="CONFORME","CONFORME ✓","NÃO CONFORME ✗")</f>
        <v/>
      </c>
      <c r="M106" s="102">
        <f>IF(F106=$Z$2,"",VLOOKUP(F106,'DATASHEET EQUIPAMENTOS'!D:N,4,FALSE))</f>
        <v/>
      </c>
      <c r="N106" s="103" t="n">
        <v>8</v>
      </c>
      <c r="O106" s="102">
        <f>IF(F106=$Z$2,"",VLOOKUP(F106,'DATASHEET EQUIPAMENTOS'!D:N,5,FALSE))</f>
        <v/>
      </c>
      <c r="P106" s="103" t="n">
        <v>2</v>
      </c>
      <c r="Q106" s="102">
        <f>IF(F106=$Z$2,"",VLOOKUP(F106,'DATASHEET EQUIPAMENTOS'!D:N,6,FALSE))</f>
        <v/>
      </c>
      <c r="R106" s="104" t="n">
        <v>1</v>
      </c>
      <c r="S106" s="95">
        <f>IF(Tabela2[[#This Row],[Instalado Sensor Motor]]="Linear","CONFORME ✓",IF(SUM(M106,O106,Q106)&lt;SUM(N106,P106,R106),"CONFORME ✓",IF(SUM(M106,O106,Q106)=SUM(N106,P106,R106),"CONFORME ✓","NÃO CONFORME ✗")))</f>
        <v/>
      </c>
      <c r="T106" s="91">
        <f>IF(F106=$Z$2,"",VLOOKUP(F106,'DATASHEET EQUIPAMENTOS'!D:N,7,FALSE))</f>
        <v/>
      </c>
      <c r="U106" s="57" t="n">
        <v>18</v>
      </c>
      <c r="V106" s="56">
        <f>IF(F106=$Z$2,"",VLOOKUP(F106,'DATASHEET EQUIPAMENTOS'!D:N,8,FALSE))</f>
        <v/>
      </c>
      <c r="W106" s="57" t="n">
        <v>3</v>
      </c>
      <c r="X106" s="56">
        <f>IF(F106=$Z$2,"",VLOOKUP(F106,'DATASHEET EQUIPAMENTOS'!D:N,9,FALSE))</f>
        <v/>
      </c>
      <c r="Y106" s="57" t="n">
        <v>3</v>
      </c>
      <c r="Z106" s="57">
        <f>IF(SUM(T106,V106,X106)&lt;=SUM(U106,W106,Y106),"CONFORME ✓",IF(SUM(T106,V106,X106)&gt;SUM(U106,W106,Y106),"NÃO CONFORME ✗"))</f>
        <v/>
      </c>
      <c r="AA106" s="56">
        <f>IF(F106=$Z$2,"",VLOOKUP(F106,'DATASHEET EQUIPAMENTOS'!D:N,10,FALSE))</f>
        <v/>
      </c>
      <c r="AB106" s="57" t="n"/>
      <c r="AC106" s="56">
        <f>IF(F106=$Z$2,"",VLOOKUP(F106,'DATASHEET EQUIPAMENTOS'!D:N,11,FALSE))</f>
        <v/>
      </c>
      <c r="AD106" s="57" t="n"/>
      <c r="AE106" s="56">
        <f>IF(F106=$Z$2,"",VLOOKUP(F106,'DATASHEET EQUIPAMENTOS'!D:O,12,FALSE))</f>
        <v/>
      </c>
      <c r="AF106" s="57" t="n"/>
      <c r="AG106" s="57">
        <f>IF(SUM(AA106,AC106,AE106)&lt;=SUM(AB106,AD106,AF106),"CONFORME ✓",IF(SUM(AA106,AC106,AE106)&gt;SUM(AB106,AD106,AF106),"NÃO CONFORME ✗"))</f>
        <v/>
      </c>
      <c r="AH106" s="72" t="n">
        <v>3.5</v>
      </c>
      <c r="AI106" s="72" t="n">
        <v>3.5</v>
      </c>
      <c r="AJ106" s="72" t="n">
        <v>5</v>
      </c>
      <c r="AK106" s="7" t="inlineStr">
        <is>
          <t>REPOSICIONAMENTO DE BICOS DE AGENTE PQS E MANGUEIRAS DE DISTRIBUIÇÃO</t>
        </is>
      </c>
      <c r="AL106" s="58">
        <f>IFERROR(CALCULOS!H101,"NECESSÁRIO REVISAR DATASHEET")</f>
        <v/>
      </c>
      <c r="AM10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6" s="64">
        <f>SUM(Tabela2[[#This Row],[Nota de Prioridade Quantitativa(NOTAS: 1 PIOR NOTA; 5 MELHOR NOTA)]],Tabela2[[#This Row],[Nota de Prioridade Qualitativa(NOTAS: 1 PIOR NOTA;  5 MELHOR NOTA)]])</f>
        <v/>
      </c>
      <c r="AO106" s="7" t="n">
        <v>150257</v>
      </c>
      <c r="AP106" s="64">
        <f>SUM(Tabela2[[#This Row],[Nota de Prioridade Quantitativa(NOTAS: 1 PIOR NOTA; 5 MELHOR NOTA)]],Tabela2[[#This Row],[Nota de Prioridade Qualitativa(NOTAS: 1 PIOR NOTA;  5 MELHOR NOTA)]])</f>
        <v/>
      </c>
      <c r="AQ106" s="7" t="n"/>
      <c r="AR106" s="64">
        <f>SUM(Tabela2[[#This Row],[Nota de Prioridade Quantitativa(NOTAS: 1 PIOR NOTA; 5 MELHOR NOTA)]],Tabela2[[#This Row],[Nota de Prioridade Qualitativa(NOTAS: 1 PIOR NOTA;  5 MELHOR NOTA)]])</f>
        <v/>
      </c>
      <c r="AS106" s="7" t="n"/>
      <c r="AZ106" s="20">
        <f t="array" ref="AZ106">StatusCarga(G106,H106,J106,K106)</f>
        <v/>
      </c>
      <c r="BA106" s="20">
        <f>IF(AZ106="CONFORME","CONFORME ✓","NÃO CONFORME ✗")</f>
        <v/>
      </c>
      <c r="BB106" t="n">
        <v>0</v>
      </c>
      <c r="BC106" t="n">
        <v>120</v>
      </c>
      <c r="BD106" t="n">
        <v>0</v>
      </c>
      <c r="BE106" t="n">
        <v>0</v>
      </c>
      <c r="BF106" t="inlineStr">
        <is>
          <t>CONFORME</t>
        </is>
      </c>
    </row>
    <row r="107" hidden="1" ht="21.75" customHeight="1" thickBot="1">
      <c r="A107" s="77" t="inlineStr">
        <is>
          <t>Paraoupeba</t>
        </is>
      </c>
      <c r="B107" s="77" t="inlineStr">
        <is>
          <t>Jangada</t>
        </is>
      </c>
      <c r="C107" s="80" t="inlineStr">
        <is>
          <t>PM3561</t>
        </is>
      </c>
      <c r="D107" s="80" t="inlineStr">
        <is>
          <t>KIDDE</t>
        </is>
      </c>
      <c r="E107" s="78" t="inlineStr">
        <is>
          <t>CATERPILLAR</t>
        </is>
      </c>
      <c r="F107" s="80" t="inlineStr">
        <is>
          <t>CAT 950H</t>
        </is>
      </c>
      <c r="G107" s="81">
        <f>IFERROR(IF(F107=$AB$2,"",VLOOKUP(F107,'DATASHEET EQUIPAMENTOS'!D:N,2,FALSE)),"")</f>
        <v/>
      </c>
      <c r="H107" s="82" t="n"/>
      <c r="I107" s="57">
        <f>_xlfn.XLOOKUP(Tabela2[[#This Row],[Modelo]],'DATASHEET EQUIPAMENTOS'!D:D,'DATASHEET EQUIPAMENTOS'!P:P,"",0,1)</f>
        <v/>
      </c>
      <c r="J107" s="81">
        <f>IF(F107=$Z$2,"",VLOOKUP(F107,'DATASHEET EQUIPAMENTOS'!D:N,3,FALSE))</f>
        <v/>
      </c>
      <c r="K107" s="85" t="n">
        <v>0</v>
      </c>
      <c r="L107" s="95">
        <f>IF(AZ107="CONFORME","CONFORME ✓","NÃO CONFORME ✗")</f>
        <v/>
      </c>
      <c r="M107" s="102">
        <f>IF(F107=$Z$2,"",VLOOKUP(F107,'DATASHEET EQUIPAMENTOS'!D:N,4,FALSE))</f>
        <v/>
      </c>
      <c r="N107" s="103" t="inlineStr">
        <is>
          <t>Linear</t>
        </is>
      </c>
      <c r="O107" s="102">
        <f>IF(F107=$Z$2,"",VLOOKUP(F107,'DATASHEET EQUIPAMENTOS'!D:N,5,FALSE))</f>
        <v/>
      </c>
      <c r="P107" s="103" t="n"/>
      <c r="Q107" s="102">
        <f>IF(F107=$Z$2,"",VLOOKUP(F107,'DATASHEET EQUIPAMENTOS'!D:N,6,FALSE))</f>
        <v/>
      </c>
      <c r="R107" s="104" t="n"/>
      <c r="S107" s="95">
        <f>IF(Tabela2[[#This Row],[Instalado Sensor Motor]]="Linear","CONFORME ✓",IF(SUM(M107,O107,Q107)&lt;SUM(N107,P107,R107),"CONFORME ✓",IF(SUM(M107,O107,Q107)=SUM(N107,P107,R107),"CONFORME ✓","NÃO CONFORME ✗")))</f>
        <v/>
      </c>
      <c r="T107" s="91">
        <f>IF(F107=$Z$2,"",VLOOKUP(F107,'DATASHEET EQUIPAMENTOS'!D:N,7,FALSE))</f>
        <v/>
      </c>
      <c r="U107" s="57" t="n">
        <v>4</v>
      </c>
      <c r="V107" s="56">
        <f>IF(F107=$Z$2,"",VLOOKUP(F107,'DATASHEET EQUIPAMENTOS'!D:N,8,FALSE))</f>
        <v/>
      </c>
      <c r="W107" s="57" t="n"/>
      <c r="X107" s="56">
        <f>IF(F107=$Z$2,"",VLOOKUP(F107,'DATASHEET EQUIPAMENTOS'!D:N,9,FALSE))</f>
        <v/>
      </c>
      <c r="Y107" s="57" t="n">
        <v>4</v>
      </c>
      <c r="Z107" s="57">
        <f>IF(SUM(T107,V107,X107)&lt;=SUM(U107,W107,Y107),"CONFORME ✓",IF(SUM(T107,V107,X107)&gt;SUM(U107,W107,Y107),"NÃO CONFORME ✗"))</f>
        <v/>
      </c>
      <c r="AA107" s="56">
        <f>IF(F107=$Z$2,"",VLOOKUP(F107,'DATASHEET EQUIPAMENTOS'!D:N,10,FALSE))</f>
        <v/>
      </c>
      <c r="AB107" s="57" t="n"/>
      <c r="AC107" s="56">
        <f>IF(F107=$Z$2,"",VLOOKUP(F107,'DATASHEET EQUIPAMENTOS'!D:N,11,FALSE))</f>
        <v/>
      </c>
      <c r="AD107" s="57" t="n"/>
      <c r="AE107" s="56">
        <f>IF(F107=$Z$2,"",VLOOKUP(F107,'DATASHEET EQUIPAMENTOS'!D:O,12,FALSE))</f>
        <v/>
      </c>
      <c r="AF107" s="57" t="n"/>
      <c r="AG107" s="57">
        <f>IF(SUM(AA107,AC107,AE107)&lt;=SUM(AB107,AD107,AF107),"CONFORME ✓",IF(SUM(AA107,AC107,AE107)&gt;SUM(AB107,AD107,AF107),"NÃO CONFORME ✗"))</f>
        <v/>
      </c>
      <c r="AH107" s="72" t="n"/>
      <c r="AI107" s="72" t="n"/>
      <c r="AJ107" s="72" t="n"/>
      <c r="AK107" s="7" t="inlineStr">
        <is>
          <t>FOI REALIZADA A EXPRESSÃO CONFORME OUT</t>
        </is>
      </c>
      <c r="AL107" s="58">
        <f>IFERROR(CALCULOS!H102,"NECESSÁRIO REVISAR DATASHEET")</f>
        <v/>
      </c>
      <c r="AM10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7" s="64">
        <f>SUM(Tabela2[[#This Row],[Nota de Prioridade Quantitativa(NOTAS: 1 PIOR NOTA; 5 MELHOR NOTA)]],Tabela2[[#This Row],[Nota de Prioridade Qualitativa(NOTAS: 1 PIOR NOTA;  5 MELHOR NOTA)]])</f>
        <v/>
      </c>
      <c r="AO107" s="7" t="n">
        <v>151603</v>
      </c>
      <c r="AP107" s="64">
        <f>SUM(Tabela2[[#This Row],[Nota de Prioridade Quantitativa(NOTAS: 1 PIOR NOTA; 5 MELHOR NOTA)]],Tabela2[[#This Row],[Nota de Prioridade Qualitativa(NOTAS: 1 PIOR NOTA;  5 MELHOR NOTA)]])</f>
        <v/>
      </c>
      <c r="AQ107" s="7" t="n"/>
      <c r="AR107" s="64">
        <f>SUM(Tabela2[[#This Row],[Nota de Prioridade Quantitativa(NOTAS: 1 PIOR NOTA; 5 MELHOR NOTA)]],Tabela2[[#This Row],[Nota de Prioridade Qualitativa(NOTAS: 1 PIOR NOTA;  5 MELHOR NOTA)]])</f>
        <v/>
      </c>
      <c r="AS107" s="7" t="n"/>
      <c r="AZ107" s="20">
        <f t="array" ref="AZ107">StatusCarga(G107,H107,J107,K107)</f>
        <v/>
      </c>
      <c r="BA107" s="20">
        <f>IF(AZ107="CONFORME","CONFORME ✓","NÃO CONFORME ✗")</f>
        <v/>
      </c>
      <c r="BB107" t="n">
        <v>0</v>
      </c>
      <c r="BC107" t="n">
        <v>0</v>
      </c>
      <c r="BD107" t="n">
        <v>0</v>
      </c>
      <c r="BE107" t="n">
        <v>0</v>
      </c>
      <c r="BF107" t="inlineStr">
        <is>
          <t>CONFORME</t>
        </is>
      </c>
    </row>
    <row r="108" hidden="1" ht="21.75" customHeight="1" thickBot="1">
      <c r="A108" s="77" t="inlineStr">
        <is>
          <t>Paraoupeba</t>
        </is>
      </c>
      <c r="B108" s="77" t="inlineStr">
        <is>
          <t>Jangada</t>
        </is>
      </c>
      <c r="C108" s="80" t="inlineStr">
        <is>
          <t>PM4330</t>
        </is>
      </c>
      <c r="D108" s="80" t="inlineStr">
        <is>
          <t>AFEX</t>
        </is>
      </c>
      <c r="E108" s="78" t="inlineStr">
        <is>
          <t>CATERPILLAR</t>
        </is>
      </c>
      <c r="F108" s="80" t="inlineStr">
        <is>
          <t>cat 980</t>
        </is>
      </c>
      <c r="G108" s="81">
        <f>IFERROR(IF(F108=$AB$2,"",VLOOKUP(F108,'DATASHEET EQUIPAMENTOS'!D:N,2,FALSE)),"")</f>
        <v/>
      </c>
      <c r="H108" s="82" t="n"/>
      <c r="I108" s="57">
        <f>_xlfn.XLOOKUP(Tabela2[[#This Row],[Modelo]],'DATASHEET EQUIPAMENTOS'!D:D,'DATASHEET EQUIPAMENTOS'!P:P,"",0,1)</f>
        <v/>
      </c>
      <c r="J108" s="81">
        <f>IF(F108=$Z$2,"",VLOOKUP(F108,'DATASHEET EQUIPAMENTOS'!D:N,3,FALSE))</f>
        <v/>
      </c>
      <c r="K108" s="85" t="n">
        <v>0</v>
      </c>
      <c r="L108" s="95">
        <f>IF(AZ108="CONFORME","CONFORME ✓","NÃO CONFORME ✗")</f>
        <v/>
      </c>
      <c r="M108" s="102">
        <f>IF(F108=$Z$2,"",VLOOKUP(F108,'DATASHEET EQUIPAMENTOS'!D:N,4,FALSE))</f>
        <v/>
      </c>
      <c r="N108" s="108" t="n"/>
      <c r="O108" s="102">
        <f>IF(F108=$Z$2,"",VLOOKUP(F108,'DATASHEET EQUIPAMENTOS'!D:N,5,FALSE))</f>
        <v/>
      </c>
      <c r="P108" s="103" t="n"/>
      <c r="Q108" s="102">
        <f>IF(F108=$Z$2,"",VLOOKUP(F108,'DATASHEET EQUIPAMENTOS'!D:N,6,FALSE))</f>
        <v/>
      </c>
      <c r="R108" s="104" t="n"/>
      <c r="S108" s="95">
        <f>IF(Tabela2[[#This Row],[Instalado Sensor Motor]]="Linear","CONFORME ✓",IF(SUM(M108,O108,Q108)&lt;SUM(N108,P108,R108),"CONFORME ✓",IF(SUM(M108,O108,Q108)=SUM(N108,P108,R108),"CONFORME ✓","NÃO CONFORME ✗")))</f>
        <v/>
      </c>
      <c r="T108" s="91">
        <f>IF(F108=$Z$2,"",VLOOKUP(F108,'DATASHEET EQUIPAMENTOS'!D:N,7,FALSE))</f>
        <v/>
      </c>
      <c r="U108" s="57" t="n">
        <v>12</v>
      </c>
      <c r="V108" s="56">
        <f>IF(F108=$Z$2,"",VLOOKUP(F108,'DATASHEET EQUIPAMENTOS'!D:N,8,FALSE))</f>
        <v/>
      </c>
      <c r="W108" s="57" t="n"/>
      <c r="X108" s="56">
        <f>IF(F108=$Z$2,"",VLOOKUP(F108,'DATASHEET EQUIPAMENTOS'!D:N,9,FALSE))</f>
        <v/>
      </c>
      <c r="Y108" s="57" t="n"/>
      <c r="Z108" s="57">
        <f>IF(SUM(T108,V108,X108)&lt;=SUM(U108,W108,Y108),"CONFORME ✓",IF(SUM(T108,V108,X108)&gt;SUM(U108,W108,Y108),"NÃO CONFORME ✗"))</f>
        <v/>
      </c>
      <c r="AA108" s="56">
        <f>IF(F108=$Z$2,"",VLOOKUP(F108,'DATASHEET EQUIPAMENTOS'!D:N,10,FALSE))</f>
        <v/>
      </c>
      <c r="AB108" s="57" t="n"/>
      <c r="AC108" s="56">
        <f>IF(F108=$Z$2,"",VLOOKUP(F108,'DATASHEET EQUIPAMENTOS'!D:N,11,FALSE))</f>
        <v/>
      </c>
      <c r="AD108" s="57" t="n"/>
      <c r="AE108" s="56">
        <f>IF(F108=$Z$2,"",VLOOKUP(F108,'DATASHEET EQUIPAMENTOS'!D:O,12,FALSE))</f>
        <v/>
      </c>
      <c r="AF108" s="57" t="n"/>
      <c r="AG108" s="57">
        <f>IF(SUM(AA108,AC108,AE108)&lt;=SUM(AB108,AD108,AF108),"CONFORME ✓",IF(SUM(AA108,AC108,AE108)&gt;SUM(AB108,AD108,AF108),"NÃO CONFORME ✗"))</f>
        <v/>
      </c>
      <c r="AH108" s="72" t="n"/>
      <c r="AI108" s="72" t="n"/>
      <c r="AJ108" s="72" t="n"/>
      <c r="AK108" s="7" t="inlineStr">
        <is>
          <t>FOI REALIZADA A INSPEÇÃO CONFORME LAYOUT</t>
        </is>
      </c>
      <c r="AL108" s="58">
        <f>IFERROR(CALCULOS!H103,"NECESSÁRIO REVISAR DATASHEET")</f>
        <v/>
      </c>
      <c r="AM10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8" s="64">
        <f>SUM(Tabela2[[#This Row],[Nota de Prioridade Quantitativa(NOTAS: 1 PIOR NOTA; 5 MELHOR NOTA)]],Tabela2[[#This Row],[Nota de Prioridade Qualitativa(NOTAS: 1 PIOR NOTA;  5 MELHOR NOTA)]])</f>
        <v/>
      </c>
      <c r="AO108" s="7" t="n">
        <v>151602</v>
      </c>
      <c r="AP108" s="64">
        <f>SUM(Tabela2[[#This Row],[Nota de Prioridade Quantitativa(NOTAS: 1 PIOR NOTA; 5 MELHOR NOTA)]],Tabela2[[#This Row],[Nota de Prioridade Qualitativa(NOTAS: 1 PIOR NOTA;  5 MELHOR NOTA)]])</f>
        <v/>
      </c>
      <c r="AQ108" s="7" t="n"/>
      <c r="AR108" s="64">
        <f>SUM(Tabela2[[#This Row],[Nota de Prioridade Quantitativa(NOTAS: 1 PIOR NOTA; 5 MELHOR NOTA)]],Tabela2[[#This Row],[Nota de Prioridade Qualitativa(NOTAS: 1 PIOR NOTA;  5 MELHOR NOTA)]])</f>
        <v/>
      </c>
      <c r="AS108" s="7" t="n"/>
      <c r="AZ108" s="20">
        <f t="array" ref="AZ108">StatusCarga(G108,H108,J108,K108)</f>
        <v/>
      </c>
      <c r="BA108" s="20">
        <f>IF(AZ108="CONFORME","CONFORME ✓","NÃO CONFORME ✗")</f>
        <v/>
      </c>
      <c r="BB108" t="n">
        <v>0</v>
      </c>
      <c r="BC108" t="n">
        <v>0</v>
      </c>
      <c r="BD108" t="n">
        <v>0</v>
      </c>
      <c r="BE108" t="n">
        <v>0</v>
      </c>
      <c r="BF108" t="inlineStr">
        <is>
          <t>CONFORME</t>
        </is>
      </c>
    </row>
    <row r="109" hidden="1" ht="21.75" customHeight="1" thickBot="1">
      <c r="A109" s="77" t="inlineStr">
        <is>
          <t>Paraoupeba</t>
        </is>
      </c>
      <c r="B109" s="77" t="inlineStr">
        <is>
          <t>Jangada</t>
        </is>
      </c>
      <c r="C109" s="80" t="inlineStr">
        <is>
          <t>PM4317</t>
        </is>
      </c>
      <c r="D109" s="80" t="inlineStr">
        <is>
          <t>AFEX</t>
        </is>
      </c>
      <c r="E109" s="78" t="inlineStr">
        <is>
          <t>CATERPILLAR</t>
        </is>
      </c>
      <c r="F109" s="80" t="inlineStr">
        <is>
          <t>cat 980</t>
        </is>
      </c>
      <c r="G109" s="81">
        <f>IFERROR(IF(F109=$AB$2,"",VLOOKUP(F109,'DATASHEET EQUIPAMENTOS'!D:N,2,FALSE)),"")</f>
        <v/>
      </c>
      <c r="H109" s="82" t="inlineStr">
        <is>
          <t>2x30lbs</t>
        </is>
      </c>
      <c r="I109" s="57">
        <f>_xlfn.XLOOKUP(Tabela2[[#This Row],[Modelo]],'DATASHEET EQUIPAMENTOS'!D:D,'DATASHEET EQUIPAMENTOS'!P:P,"",0,1)</f>
        <v/>
      </c>
      <c r="J109" s="81">
        <f>IF(F109=$Z$2,"",VLOOKUP(F109,'DATASHEET EQUIPAMENTOS'!D:N,3,FALSE))</f>
        <v/>
      </c>
      <c r="K109" s="85" t="n">
        <v>0</v>
      </c>
      <c r="L109" s="95">
        <f>IF(AZ109="CONFORME","CONFORME ✓","NÃO CONFORME ✗")</f>
        <v/>
      </c>
      <c r="M109" s="102">
        <f>IF(F109=$Z$2,"",VLOOKUP(F109,'DATASHEET EQUIPAMENTOS'!D:N,4,FALSE))</f>
        <v/>
      </c>
      <c r="N109" s="108" t="n">
        <v>5</v>
      </c>
      <c r="O109" s="102">
        <f>IF(F109=$Z$2,"",VLOOKUP(F109,'DATASHEET EQUIPAMENTOS'!D:N,5,FALSE))</f>
        <v/>
      </c>
      <c r="P109" s="103" t="n"/>
      <c r="Q109" s="102">
        <f>IF(F109=$Z$2,"",VLOOKUP(F109,'DATASHEET EQUIPAMENTOS'!D:N,6,FALSE))</f>
        <v/>
      </c>
      <c r="R109" s="104" t="n"/>
      <c r="S109" s="95">
        <f>IF(Tabela2[[#This Row],[Instalado Sensor Motor]]="Linear","CONFORME ✓",IF(SUM(M109,O109,Q109)&lt;SUM(N109,P109,R109),"CONFORME ✓",IF(SUM(M109,O109,Q109)=SUM(N109,P109,R109),"CONFORME ✓","NÃO CONFORME ✗")))</f>
        <v/>
      </c>
      <c r="T109" s="91">
        <f>IF(F109=$Z$2,"",VLOOKUP(F109,'DATASHEET EQUIPAMENTOS'!D:N,7,FALSE))</f>
        <v/>
      </c>
      <c r="U109" s="57" t="n">
        <v>12</v>
      </c>
      <c r="V109" s="56">
        <f>IF(F109=$Z$2,"",VLOOKUP(F109,'DATASHEET EQUIPAMENTOS'!D:N,8,FALSE))</f>
        <v/>
      </c>
      <c r="W109" s="57" t="n"/>
      <c r="X109" s="56">
        <f>IF(F109=$Z$2,"",VLOOKUP(F109,'DATASHEET EQUIPAMENTOS'!D:N,9,FALSE))</f>
        <v/>
      </c>
      <c r="Y109" s="57" t="n"/>
      <c r="Z109" s="57">
        <f>IF(SUM(T109,V109,X109)&lt;=SUM(U109,W109,Y109),"CONFORME ✓",IF(SUM(T109,V109,X109)&gt;SUM(U109,W109,Y109),"NÃO CONFORME ✗"))</f>
        <v/>
      </c>
      <c r="AA109" s="56">
        <f>IF(F109=$Z$2,"",VLOOKUP(F109,'DATASHEET EQUIPAMENTOS'!D:N,10,FALSE))</f>
        <v/>
      </c>
      <c r="AB109" s="57" t="n"/>
      <c r="AC109" s="56">
        <f>IF(F109=$Z$2,"",VLOOKUP(F109,'DATASHEET EQUIPAMENTOS'!D:N,11,FALSE))</f>
        <v/>
      </c>
      <c r="AD109" s="57" t="n"/>
      <c r="AE109" s="56">
        <f>IF(F109=$Z$2,"",VLOOKUP(F109,'DATASHEET EQUIPAMENTOS'!D:O,12,FALSE))</f>
        <v/>
      </c>
      <c r="AF109" s="57" t="n"/>
      <c r="AG109" s="57">
        <f>IF(SUM(AA109,AC109,AE109)&lt;=SUM(AB109,AD109,AF109),"CONFORME ✓",IF(SUM(AA109,AC109,AE109)&gt;SUM(AB109,AD109,AF109),"NÃO CONFORME ✗"))</f>
        <v/>
      </c>
      <c r="AH109" s="72" t="n"/>
      <c r="AI109" s="72" t="n"/>
      <c r="AJ109" s="72" t="n"/>
      <c r="AK109" s="7" t="inlineStr">
        <is>
          <t>FOI REALIZADA A EXPRESSÃO CONFORME O LAYOUT</t>
        </is>
      </c>
      <c r="AL109" s="58">
        <f>IFERROR(CALCULOS!H104,"NECESSÁRIO REVISAR DATASHEET")</f>
        <v/>
      </c>
      <c r="AM10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09" s="64">
        <f>SUM(Tabela2[[#This Row],[Nota de Prioridade Quantitativa(NOTAS: 1 PIOR NOTA; 5 MELHOR NOTA)]],Tabela2[[#This Row],[Nota de Prioridade Qualitativa(NOTAS: 1 PIOR NOTA;  5 MELHOR NOTA)]])</f>
        <v/>
      </c>
      <c r="AO109" s="7" t="n">
        <v>151574</v>
      </c>
      <c r="AP109" s="64">
        <f>SUM(Tabela2[[#This Row],[Nota de Prioridade Quantitativa(NOTAS: 1 PIOR NOTA; 5 MELHOR NOTA)]],Tabela2[[#This Row],[Nota de Prioridade Qualitativa(NOTAS: 1 PIOR NOTA;  5 MELHOR NOTA)]])</f>
        <v/>
      </c>
      <c r="AQ109" s="7" t="n"/>
      <c r="AR109" s="64">
        <f>SUM(Tabela2[[#This Row],[Nota de Prioridade Quantitativa(NOTAS: 1 PIOR NOTA; 5 MELHOR NOTA)]],Tabela2[[#This Row],[Nota de Prioridade Qualitativa(NOTAS: 1 PIOR NOTA;  5 MELHOR NOTA)]])</f>
        <v/>
      </c>
      <c r="AS109" s="7" t="n"/>
      <c r="AZ109" s="20">
        <f t="array" ref="AZ109">StatusCarga(G109,H109,J109,K109)</f>
        <v/>
      </c>
      <c r="BA109" s="20">
        <f>IF(AZ109="CONFORME","CONFORME ✓","NÃO CONFORME ✗")</f>
        <v/>
      </c>
      <c r="BB109" t="n">
        <v>0</v>
      </c>
      <c r="BC109" t="n">
        <v>60</v>
      </c>
      <c r="BD109" t="n">
        <v>0</v>
      </c>
      <c r="BE109" t="n">
        <v>0</v>
      </c>
      <c r="BF109" t="inlineStr">
        <is>
          <t>CONFORME</t>
        </is>
      </c>
    </row>
    <row r="110" hidden="1" ht="21.75" customHeight="1" thickBot="1">
      <c r="A110" s="77" t="inlineStr">
        <is>
          <t>VGR</t>
        </is>
      </c>
      <c r="B110" s="77" t="inlineStr">
        <is>
          <t>Aboboras</t>
        </is>
      </c>
      <c r="C110" s="80" t="inlineStr">
        <is>
          <t>PF1129</t>
        </is>
      </c>
      <c r="D110" s="80" t="inlineStr">
        <is>
          <t>AFEX</t>
        </is>
      </c>
      <c r="E110" s="78" t="inlineStr">
        <is>
          <t>CATERPILLAR</t>
        </is>
      </c>
      <c r="F110" s="80" t="inlineStr">
        <is>
          <t>CAT MD6290</t>
        </is>
      </c>
      <c r="G110" s="81">
        <f>IFERROR(IF(F110=$AB$2,"",VLOOKUP(F110,'DATASHEET EQUIPAMENTOS'!D:N,2,FALSE)),"")</f>
        <v/>
      </c>
      <c r="H110" s="82" t="inlineStr">
        <is>
          <t>1x125lbs + 2x60lbs + 1x30lbs</t>
        </is>
      </c>
      <c r="I110" s="57">
        <f>_xlfn.XLOOKUP(Tabela2[[#This Row],[Modelo]],'DATASHEET EQUIPAMENTOS'!D:D,'DATASHEET EQUIPAMENTOS'!P:P,"",0,1)</f>
        <v/>
      </c>
      <c r="J110" s="81">
        <f>IF(F110=$Z$2,"",VLOOKUP(F110,'DATASHEET EQUIPAMENTOS'!D:N,3,FALSE))</f>
        <v/>
      </c>
      <c r="K110" s="85" t="inlineStr">
        <is>
          <t>2x5gal</t>
        </is>
      </c>
      <c r="L110" s="95">
        <f>IF(AZ110="CONFORME","CONFORME ✓","NÃO CONFORME ✗")</f>
        <v/>
      </c>
      <c r="M110" s="102">
        <f>IF(F110=$Z$2,"",VLOOKUP(F110,'DATASHEET EQUIPAMENTOS'!D:N,4,FALSE))</f>
        <v/>
      </c>
      <c r="N110" s="108" t="n">
        <v>6</v>
      </c>
      <c r="O110" s="102">
        <f>IF(F110=$Z$2,"",VLOOKUP(F110,'DATASHEET EQUIPAMENTOS'!D:N,5,FALSE))</f>
        <v/>
      </c>
      <c r="P110" s="103" t="n">
        <v>0</v>
      </c>
      <c r="Q110" s="102">
        <f>IF(F110=$Z$2,"",VLOOKUP(F110,'DATASHEET EQUIPAMENTOS'!D:N,6,FALSE))</f>
        <v/>
      </c>
      <c r="R110" s="104" t="n">
        <v>2</v>
      </c>
      <c r="S110" s="95">
        <f>IF(Tabela2[[#This Row],[Instalado Sensor Motor]]="Linear","CONFORME ✓",IF(SUM(M110,O110,Q110)&lt;SUM(N110,P110,R110),"CONFORME ✓",IF(SUM(M110,O110,Q110)=SUM(N110,P110,R110),"CONFORME ✓","NÃO CONFORME ✗")))</f>
        <v/>
      </c>
      <c r="T110" s="91">
        <f>IF(F110=$Z$2,"",VLOOKUP(F110,'DATASHEET EQUIPAMENTOS'!D:N,7,FALSE))</f>
        <v/>
      </c>
      <c r="U110" s="57" t="n">
        <v>12</v>
      </c>
      <c r="V110" s="56">
        <f>IF(F110=$Z$2,"",VLOOKUP(F110,'DATASHEET EQUIPAMENTOS'!D:N,8,FALSE))</f>
        <v/>
      </c>
      <c r="W110" s="57" t="n"/>
      <c r="X110" s="56">
        <f>IF(F110=$Z$2,"",VLOOKUP(F110,'DATASHEET EQUIPAMENTOS'!D:N,9,FALSE))</f>
        <v/>
      </c>
      <c r="Y110" s="57" t="n">
        <v>6</v>
      </c>
      <c r="Z110" s="57">
        <f>IF(SUM(T110,V110,X110)&lt;=SUM(U110,W110,Y110),"CONFORME ✓",IF(SUM(T110,V110,X110)&gt;SUM(U110,W110,Y110),"NÃO CONFORME ✗"))</f>
        <v/>
      </c>
      <c r="AA110" s="56">
        <f>IF(F110=$Z$2,"",VLOOKUP(F110,'DATASHEET EQUIPAMENTOS'!D:N,10,FALSE))</f>
        <v/>
      </c>
      <c r="AB110" s="57" t="n">
        <v>6</v>
      </c>
      <c r="AC110" s="56">
        <f>IF(F110=$Z$2,"",VLOOKUP(F110,'DATASHEET EQUIPAMENTOS'!D:N,11,FALSE))</f>
        <v/>
      </c>
      <c r="AD110" s="57" t="n">
        <v>0</v>
      </c>
      <c r="AE110" s="56">
        <f>IF(F110=$Z$2,"",VLOOKUP(F110,'DATASHEET EQUIPAMENTOS'!D:O,12,FALSE))</f>
        <v/>
      </c>
      <c r="AF110" s="57" t="n">
        <v>0</v>
      </c>
      <c r="AG110" s="57">
        <f>IF(SUM(AA110,AC110,AE110)&lt;=SUM(AB110,AD110,AF110),"CONFORME ✓",IF(SUM(AA110,AC110,AE110)&gt;SUM(AB110,AD110,AF110),"NÃO CONFORME ✗"))</f>
        <v/>
      </c>
      <c r="AH110" s="72" t="n">
        <v>4</v>
      </c>
      <c r="AI110" s="72" t="n">
        <v>3.5</v>
      </c>
      <c r="AJ110" s="72" t="n">
        <v>5</v>
      </c>
      <c r="AK110" s="7" t="inlineStr">
        <is>
          <t>REPOSICIONAR MANGUEIRAS DE AGENTE PQ;  REALIZAR ADEQUAÇÃO DAS MANGUEIRAS DE AGENTE LÍQUIDO; REPOSICIONAR CABOS DE SENSORES</t>
        </is>
      </c>
      <c r="AL110" s="58">
        <f>IFERROR(CALCULOS!H105,"NECESSÁRIO REVISAR DATASHEET")</f>
        <v/>
      </c>
      <c r="AM11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0" s="64">
        <f>SUM(Tabela2[[#This Row],[Nota de Prioridade Quantitativa(NOTAS: 1 PIOR NOTA; 5 MELHOR NOTA)]],Tabela2[[#This Row],[Nota de Prioridade Qualitativa(NOTAS: 1 PIOR NOTA;  5 MELHOR NOTA)]])</f>
        <v/>
      </c>
      <c r="AO110" s="7" t="n">
        <v>149833</v>
      </c>
      <c r="AP110" s="64">
        <f>SUM(Tabela2[[#This Row],[Nota de Prioridade Quantitativa(NOTAS: 1 PIOR NOTA; 5 MELHOR NOTA)]],Tabela2[[#This Row],[Nota de Prioridade Qualitativa(NOTAS: 1 PIOR NOTA;  5 MELHOR NOTA)]])</f>
        <v/>
      </c>
      <c r="AQ110" s="7" t="inlineStr">
        <is>
          <t>Qualificado por Rennan</t>
        </is>
      </c>
      <c r="AR110" s="64">
        <f>SUM(Tabela2[[#This Row],[Nota de Prioridade Quantitativa(NOTAS: 1 PIOR NOTA; 5 MELHOR NOTA)]],Tabela2[[#This Row],[Nota de Prioridade Qualitativa(NOTAS: 1 PIOR NOTA;  5 MELHOR NOTA)]])</f>
        <v/>
      </c>
      <c r="AS110" s="7" t="n"/>
      <c r="AZ110" s="20">
        <f t="array" ref="AZ110">StatusCarga(G110,H110,J110,K110)</f>
        <v/>
      </c>
      <c r="BA110" s="20">
        <f>IF(AZ110="CONFORME","CONFORME ✓","NÃO CONFORME ✗")</f>
        <v/>
      </c>
      <c r="BB110" t="n">
        <v>0</v>
      </c>
      <c r="BC110" t="n">
        <v>275</v>
      </c>
      <c r="BD110" t="n">
        <v>0</v>
      </c>
      <c r="BE110" t="n">
        <v>10</v>
      </c>
      <c r="BF110" t="inlineStr">
        <is>
          <t>CONFORME</t>
        </is>
      </c>
    </row>
    <row r="111" hidden="1" ht="21.75" customHeight="1" thickBot="1">
      <c r="A111" s="77" t="inlineStr">
        <is>
          <t>VGR</t>
        </is>
      </c>
      <c r="B111" s="77" t="inlineStr">
        <is>
          <t>Aboboras</t>
        </is>
      </c>
      <c r="C111" s="80" t="inlineStr">
        <is>
          <t>PM4351</t>
        </is>
      </c>
      <c r="D111" s="80" t="inlineStr">
        <is>
          <t>AFEX</t>
        </is>
      </c>
      <c r="E111" s="78" t="inlineStr">
        <is>
          <t>CATERPILLAR</t>
        </is>
      </c>
      <c r="F111" s="80" t="inlineStr">
        <is>
          <t>cat 980L</t>
        </is>
      </c>
      <c r="G111" s="81">
        <f>IFERROR(IF(F111=$AB$2,"",VLOOKUP(F111,'DATASHEET EQUIPAMENTOS'!D:N,2,FALSE)),"")</f>
        <v/>
      </c>
      <c r="H111" s="82" t="inlineStr">
        <is>
          <t>1x60lbs</t>
        </is>
      </c>
      <c r="I111" s="57">
        <f>_xlfn.XLOOKUP(Tabela2[[#This Row],[Modelo]],'DATASHEET EQUIPAMENTOS'!D:D,'DATASHEET EQUIPAMENTOS'!P:P,"",0,1)</f>
        <v/>
      </c>
      <c r="J111" s="81">
        <f>IF(F111=$Z$2,"",VLOOKUP(F111,'DATASHEET EQUIPAMENTOS'!D:N,3,FALSE))</f>
        <v/>
      </c>
      <c r="K111" s="85" t="n">
        <v>0</v>
      </c>
      <c r="L111" s="95">
        <f>IF(AZ111="CONFORME","CONFORME ✓","NÃO CONFORME ✗")</f>
        <v/>
      </c>
      <c r="M111" s="102">
        <f>IF(F111=$Z$2,"",VLOOKUP(F111,'DATASHEET EQUIPAMENTOS'!D:N,4,FALSE))</f>
        <v/>
      </c>
      <c r="N111" s="108" t="n">
        <v>3</v>
      </c>
      <c r="O111" s="102">
        <f>IF(F111=$Z$2,"",VLOOKUP(F111,'DATASHEET EQUIPAMENTOS'!D:N,5,FALSE))</f>
        <v/>
      </c>
      <c r="P111" s="103" t="n">
        <v>1</v>
      </c>
      <c r="Q111" s="102">
        <f>IF(F111=$Z$2,"",VLOOKUP(F111,'DATASHEET EQUIPAMENTOS'!D:N,6,FALSE))</f>
        <v/>
      </c>
      <c r="R111" s="104" t="n"/>
      <c r="S111" s="95">
        <f>IF(Tabela2[[#This Row],[Instalado Sensor Motor]]="Linear","CONFORME ✓",IF(SUM(M111,O111,Q111)&lt;SUM(N111,P111,R111),"CONFORME ✓",IF(SUM(M111,O111,Q111)=SUM(N111,P111,R111),"CONFORME ✓","NÃO CONFORME ✗")))</f>
        <v/>
      </c>
      <c r="T111" s="91">
        <f>IF(F111=$Z$2,"",VLOOKUP(F111,'DATASHEET EQUIPAMENTOS'!D:N,7,FALSE))</f>
        <v/>
      </c>
      <c r="U111" s="57" t="n">
        <v>6</v>
      </c>
      <c r="V111" s="56">
        <f>IF(F111=$Z$2,"",VLOOKUP(F111,'DATASHEET EQUIPAMENTOS'!D:N,8,FALSE))</f>
        <v/>
      </c>
      <c r="W111" s="57" t="n">
        <v>6</v>
      </c>
      <c r="X111" s="56">
        <f>IF(F111=$Z$2,"",VLOOKUP(F111,'DATASHEET EQUIPAMENTOS'!D:N,9,FALSE))</f>
        <v/>
      </c>
      <c r="Y111" s="57" t="n"/>
      <c r="Z111" s="57">
        <f>IF(SUM(T111,V111,X111)&lt;=SUM(U111,W111,Y111),"CONFORME ✓",IF(SUM(T111,V111,X111)&gt;SUM(U111,W111,Y111),"NÃO CONFORME ✗"))</f>
        <v/>
      </c>
      <c r="AA111" s="56">
        <f>IF(F111=$Z$2,"",VLOOKUP(F111,'DATASHEET EQUIPAMENTOS'!D:N,10,FALSE))</f>
        <v/>
      </c>
      <c r="AB111" s="57" t="n"/>
      <c r="AC111" s="56">
        <f>IF(F111=$Z$2,"",VLOOKUP(F111,'DATASHEET EQUIPAMENTOS'!D:N,11,FALSE))</f>
        <v/>
      </c>
      <c r="AD111" s="57" t="n"/>
      <c r="AE111" s="56">
        <f>IF(F111=$Z$2,"",VLOOKUP(F111,'DATASHEET EQUIPAMENTOS'!D:O,12,FALSE))</f>
        <v/>
      </c>
      <c r="AF111" s="57" t="n"/>
      <c r="AG111" s="57">
        <f>IF(SUM(AA111,AC111,AE111)&lt;=SUM(AB111,AD111,AF111),"CONFORME ✓",IF(SUM(AA111,AC111,AE111)&gt;SUM(AB111,AD111,AF111),"NÃO CONFORME ✗"))</f>
        <v/>
      </c>
      <c r="AH111" s="72" t="n">
        <v>3</v>
      </c>
      <c r="AI111" s="72" t="n">
        <v>2.5</v>
      </c>
      <c r="AJ111" s="72" t="n">
        <v>4</v>
      </c>
      <c r="AK111" s="7" t="inlineStr">
        <is>
          <t>REPOSICIONAR SENSORES E CABOS DE SENSORES; REALIZAR ADEQUAÇÃO NOS BICOS DIFUSORES DE AGENTE PQS</t>
        </is>
      </c>
      <c r="AL111" s="58">
        <f>IFERROR(CALCULOS!H106,"NECESSÁRIO REVISAR DATASHEET")</f>
        <v/>
      </c>
      <c r="AM11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1" s="64">
        <f>SUM(Tabela2[[#This Row],[Nota de Prioridade Quantitativa(NOTAS: 1 PIOR NOTA; 5 MELHOR NOTA)]],Tabela2[[#This Row],[Nota de Prioridade Qualitativa(NOTAS: 1 PIOR NOTA;  5 MELHOR NOTA)]])</f>
        <v/>
      </c>
      <c r="AO111" s="7" t="n">
        <v>149832</v>
      </c>
      <c r="AP111" s="64">
        <f>SUM(Tabela2[[#This Row],[Nota de Prioridade Quantitativa(NOTAS: 1 PIOR NOTA; 5 MELHOR NOTA)]],Tabela2[[#This Row],[Nota de Prioridade Qualitativa(NOTAS: 1 PIOR NOTA;  5 MELHOR NOTA)]])</f>
        <v/>
      </c>
      <c r="AQ111" s="7" t="inlineStr">
        <is>
          <t>Qualificado por Rennan</t>
        </is>
      </c>
      <c r="AR111" s="64">
        <f>SUM(Tabela2[[#This Row],[Nota de Prioridade Quantitativa(NOTAS: 1 PIOR NOTA; 5 MELHOR NOTA)]],Tabela2[[#This Row],[Nota de Prioridade Qualitativa(NOTAS: 1 PIOR NOTA;  5 MELHOR NOTA)]])</f>
        <v/>
      </c>
      <c r="AS111" s="7" t="n"/>
      <c r="AZ111" s="20">
        <f t="array" ref="AZ111">StatusCarga(G111,H111,J111,K111)</f>
        <v/>
      </c>
      <c r="BA111" s="20">
        <f>IF(AZ111="CONFORME","CONFORME ✓","NÃO CONFORME ✗")</f>
        <v/>
      </c>
      <c r="BB111" t="n">
        <v>0</v>
      </c>
      <c r="BC111" t="n">
        <v>60</v>
      </c>
      <c r="BD111" t="n">
        <v>0</v>
      </c>
      <c r="BE111" t="n">
        <v>0</v>
      </c>
      <c r="BF111" t="inlineStr">
        <is>
          <t>CONFORME</t>
        </is>
      </c>
    </row>
    <row r="112" hidden="1" ht="21.75" customHeight="1" thickBot="1">
      <c r="A112" s="77" t="inlineStr">
        <is>
          <t>VGR</t>
        </is>
      </c>
      <c r="B112" s="77" t="inlineStr">
        <is>
          <t>Aboboras</t>
        </is>
      </c>
      <c r="C112" s="80" t="inlineStr">
        <is>
          <t>CA5496</t>
        </is>
      </c>
      <c r="D112" s="80" t="inlineStr">
        <is>
          <t>AFEX</t>
        </is>
      </c>
      <c r="E112" s="78" t="inlineStr">
        <is>
          <t>CATERPILLAR</t>
        </is>
      </c>
      <c r="F112" s="80" t="inlineStr">
        <is>
          <t>cat 789D</t>
        </is>
      </c>
      <c r="G112" s="81">
        <f>IFERROR(IF(F112=$AB$2,"",VLOOKUP(F112,'DATASHEET EQUIPAMENTOS'!D:N,2,FALSE)),"")</f>
        <v/>
      </c>
      <c r="H112" s="82" t="inlineStr">
        <is>
          <t>2x60lbs</t>
        </is>
      </c>
      <c r="I112" s="57">
        <f>_xlfn.XLOOKUP(Tabela2[[#This Row],[Modelo]],'DATASHEET EQUIPAMENTOS'!D:D,'DATASHEET EQUIPAMENTOS'!P:P,"",0,1)</f>
        <v/>
      </c>
      <c r="J112" s="81">
        <f>IF(F112=$Z$2,"",VLOOKUP(F112,'DATASHEET EQUIPAMENTOS'!D:N,3,FALSE))</f>
        <v/>
      </c>
      <c r="K112" s="85" t="n">
        <v>0</v>
      </c>
      <c r="L112" s="95">
        <f>IF(AZ112="CONFORME","CONFORME ✓","NÃO CONFORME ✗")</f>
        <v/>
      </c>
      <c r="M112" s="102">
        <f>IF(F112=$Z$2,"",VLOOKUP(F112,'DATASHEET EQUIPAMENTOS'!D:N,4,FALSE))</f>
        <v/>
      </c>
      <c r="N112" s="108" t="n">
        <v>8</v>
      </c>
      <c r="O112" s="102">
        <f>IF(F112=$Z$2,"",VLOOKUP(F112,'DATASHEET EQUIPAMENTOS'!D:N,5,FALSE))</f>
        <v/>
      </c>
      <c r="P112" s="103" t="n">
        <v>1</v>
      </c>
      <c r="Q112" s="102">
        <f>IF(F112=$Z$2,"",VLOOKUP(F112,'DATASHEET EQUIPAMENTOS'!D:N,6,FALSE))</f>
        <v/>
      </c>
      <c r="R112" s="104" t="n">
        <v>1</v>
      </c>
      <c r="S112" s="95">
        <f>IF(Tabela2[[#This Row],[Instalado Sensor Motor]]="Linear","CONFORME ✓",IF(SUM(M112,O112,Q112)&lt;SUM(N112,P112,R112),"CONFORME ✓",IF(SUM(M112,O112,Q112)=SUM(N112,P112,R112),"CONFORME ✓","NÃO CONFORME ✗")))</f>
        <v/>
      </c>
      <c r="T112" s="91">
        <f>IF(F112=$Z$2,"",VLOOKUP(F112,'DATASHEET EQUIPAMENTOS'!D:N,7,FALSE))</f>
        <v/>
      </c>
      <c r="U112" s="57" t="n">
        <v>18</v>
      </c>
      <c r="V112" s="56">
        <f>IF(F112=$Z$2,"",VLOOKUP(F112,'DATASHEET EQUIPAMENTOS'!D:N,8,FALSE))</f>
        <v/>
      </c>
      <c r="W112" s="62" t="n">
        <v>3</v>
      </c>
      <c r="X112" s="56">
        <f>IF(F112=$Z$2,"",VLOOKUP(F112,'DATASHEET EQUIPAMENTOS'!D:N,9,FALSE))</f>
        <v/>
      </c>
      <c r="Y112" s="62" t="n">
        <v>3</v>
      </c>
      <c r="Z112" s="57">
        <f>IF(SUM(T112,V112,X112)&lt;=SUM(U112,W112,Y112),"CONFORME ✓",IF(SUM(T112,V112,X112)&gt;SUM(U112,W112,Y112),"NÃO CONFORME ✗"))</f>
        <v/>
      </c>
      <c r="AA112" s="56">
        <f>IF(F112=$Z$2,"",VLOOKUP(F112,'DATASHEET EQUIPAMENTOS'!D:N,10,FALSE))</f>
        <v/>
      </c>
      <c r="AB112" s="57" t="n"/>
      <c r="AC112" s="56">
        <f>IF(F112=$Z$2,"",VLOOKUP(F112,'DATASHEET EQUIPAMENTOS'!D:N,11,FALSE))</f>
        <v/>
      </c>
      <c r="AD112" s="57" t="n"/>
      <c r="AE112" s="56">
        <f>IF(F112=$Z$2,"",VLOOKUP(F112,'DATASHEET EQUIPAMENTOS'!D:O,12,FALSE))</f>
        <v/>
      </c>
      <c r="AF112" s="57" t="n"/>
      <c r="AG112" s="57">
        <f>IF(SUM(AA112,AC112,AE112)&lt;=SUM(AB112,AD112,AF112),"CONFORME ✓",IF(SUM(AA112,AC112,AE112)&gt;SUM(AB112,AD112,AF112),"NÃO CONFORME ✗"))</f>
        <v/>
      </c>
      <c r="AH112" s="72" t="n">
        <v>2.5</v>
      </c>
      <c r="AI112" s="72" t="n">
        <v>2.5</v>
      </c>
      <c r="AJ112" s="72" t="n">
        <v>4</v>
      </c>
      <c r="AK112" s="7" t="inlineStr">
        <is>
          <t>REPOSICIONAMENTO DO PAINEL DE MONITORAMENTO; REOSICIONAMENTO DE CABOS DE SNSORES ; REPOSICIONAMENTO DE MANGUEIRAS DE AGENTE PQS</t>
        </is>
      </c>
      <c r="AL112" s="58">
        <f>IFERROR(CALCULOS!H107,"NECESSÁRIO REVISAR DATASHEET")</f>
        <v/>
      </c>
      <c r="AM11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2" s="64">
        <f>SUM(Tabela2[[#This Row],[Nota de Prioridade Quantitativa(NOTAS: 1 PIOR NOTA; 5 MELHOR NOTA)]],Tabela2[[#This Row],[Nota de Prioridade Qualitativa(NOTAS: 1 PIOR NOTA;  5 MELHOR NOTA)]])</f>
        <v/>
      </c>
      <c r="AO112" s="7" t="n">
        <v>149824</v>
      </c>
      <c r="AP112" s="64">
        <f>SUM(Tabela2[[#This Row],[Nota de Prioridade Quantitativa(NOTAS: 1 PIOR NOTA; 5 MELHOR NOTA)]],Tabela2[[#This Row],[Nota de Prioridade Qualitativa(NOTAS: 1 PIOR NOTA;  5 MELHOR NOTA)]])</f>
        <v/>
      </c>
      <c r="AQ112" s="7" t="n"/>
      <c r="AR112" s="64">
        <f>SUM(Tabela2[[#This Row],[Nota de Prioridade Quantitativa(NOTAS: 1 PIOR NOTA; 5 MELHOR NOTA)]],Tabela2[[#This Row],[Nota de Prioridade Qualitativa(NOTAS: 1 PIOR NOTA;  5 MELHOR NOTA)]])</f>
        <v/>
      </c>
      <c r="AS112" s="7" t="n"/>
      <c r="AZ112" s="20">
        <f t="array" ref="AZ112">StatusCarga(G112,H112,J112,K112)</f>
        <v/>
      </c>
      <c r="BA112" s="20">
        <f>IF(AZ112="CONFORME","CONFORME ✓","NÃO CONFORME ✗")</f>
        <v/>
      </c>
      <c r="BB112" t="n">
        <v>0</v>
      </c>
      <c r="BC112" t="n">
        <v>120</v>
      </c>
      <c r="BD112" t="n">
        <v>0</v>
      </c>
      <c r="BE112" t="n">
        <v>0</v>
      </c>
      <c r="BF112" t="inlineStr">
        <is>
          <t>CONFORME</t>
        </is>
      </c>
    </row>
    <row r="113" hidden="1" ht="21.75" customHeight="1" thickBot="1">
      <c r="A113" s="77" t="inlineStr">
        <is>
          <t>VGR</t>
        </is>
      </c>
      <c r="B113" s="77" t="inlineStr">
        <is>
          <t>Aboboras</t>
        </is>
      </c>
      <c r="C113" s="80" t="inlineStr">
        <is>
          <t>CA5499</t>
        </is>
      </c>
      <c r="D113" s="80" t="inlineStr">
        <is>
          <t>AFEX</t>
        </is>
      </c>
      <c r="E113" s="78" t="inlineStr">
        <is>
          <t>CATERPILLAR</t>
        </is>
      </c>
      <c r="F113" s="80" t="inlineStr">
        <is>
          <t>cat 789D</t>
        </is>
      </c>
      <c r="G113" s="81">
        <f>IFERROR(IF(F113=$AB$2,"",VLOOKUP(F113,'DATASHEET EQUIPAMENTOS'!D:N,2,FALSE)),"")</f>
        <v/>
      </c>
      <c r="H113" s="82" t="inlineStr">
        <is>
          <t>2x60lbs</t>
        </is>
      </c>
      <c r="I113" s="57">
        <f>_xlfn.XLOOKUP(Tabela2[[#This Row],[Modelo]],'DATASHEET EQUIPAMENTOS'!D:D,'DATASHEET EQUIPAMENTOS'!P:P,"",0,1)</f>
        <v/>
      </c>
      <c r="J113" s="81">
        <f>IF(F113=$Z$2,"",VLOOKUP(F113,'DATASHEET EQUIPAMENTOS'!D:N,3,FALSE))</f>
        <v/>
      </c>
      <c r="K113" s="85" t="inlineStr">
        <is>
          <t>2x5gal</t>
        </is>
      </c>
      <c r="L113" s="95">
        <f>IF(AZ113="CONFORME","CONFORME ✓","NÃO CONFORME ✗")</f>
        <v/>
      </c>
      <c r="M113" s="102">
        <f>IF(F113=$Z$2,"",VLOOKUP(F113,'DATASHEET EQUIPAMENTOS'!D:N,4,FALSE))</f>
        <v/>
      </c>
      <c r="N113" s="108" t="n">
        <v>6</v>
      </c>
      <c r="O113" s="102">
        <f>IF(F113=$Z$2,"",VLOOKUP(F113,'DATASHEET EQUIPAMENTOS'!D:N,5,FALSE))</f>
        <v/>
      </c>
      <c r="P113" s="103" t="n">
        <v>2</v>
      </c>
      <c r="Q113" s="102">
        <f>IF(F113=$Z$2,"",VLOOKUP(F113,'DATASHEET EQUIPAMENTOS'!D:N,6,FALSE))</f>
        <v/>
      </c>
      <c r="R113" s="104" t="n">
        <v>2</v>
      </c>
      <c r="S113" s="95">
        <f>IF(Tabela2[[#This Row],[Instalado Sensor Motor]]="Linear","CONFORME ✓",IF(SUM(M113,O113,Q113)&lt;SUM(N113,P113,R113),"CONFORME ✓",IF(SUM(M113,O113,Q113)=SUM(N113,P113,R113),"CONFORME ✓","NÃO CONFORME ✗")))</f>
        <v/>
      </c>
      <c r="T113" s="91">
        <f>IF(F113=$Z$2,"",VLOOKUP(F113,'DATASHEET EQUIPAMENTOS'!D:N,7,FALSE))</f>
        <v/>
      </c>
      <c r="U113" s="57" t="n">
        <v>18</v>
      </c>
      <c r="V113" s="56">
        <f>IF(F113=$Z$2,"",VLOOKUP(F113,'DATASHEET EQUIPAMENTOS'!D:N,8,FALSE))</f>
        <v/>
      </c>
      <c r="W113" s="62" t="n">
        <v>3</v>
      </c>
      <c r="X113" s="56">
        <f>IF(F113=$Z$2,"",VLOOKUP(F113,'DATASHEET EQUIPAMENTOS'!D:N,9,FALSE))</f>
        <v/>
      </c>
      <c r="Y113" s="62" t="n">
        <v>3</v>
      </c>
      <c r="Z113" s="57">
        <f>IF(SUM(T113,V113,X113)&lt;=SUM(U113,W113,Y113),"CONFORME ✓",IF(SUM(T113,V113,X113)&gt;SUM(U113,W113,Y113),"NÃO CONFORME ✗"))</f>
        <v/>
      </c>
      <c r="AA113" s="56">
        <f>IF(F113=$Z$2,"",VLOOKUP(F113,'DATASHEET EQUIPAMENTOS'!D:N,10,FALSE))</f>
        <v/>
      </c>
      <c r="AB113" s="57" t="n">
        <v>8</v>
      </c>
      <c r="AC113" s="56">
        <f>IF(F113=$Z$2,"",VLOOKUP(F113,'DATASHEET EQUIPAMENTOS'!D:N,11,FALSE))</f>
        <v/>
      </c>
      <c r="AD113" s="57" t="n">
        <v>0</v>
      </c>
      <c r="AE113" s="56">
        <f>IF(F113=$Z$2,"",VLOOKUP(F113,'DATASHEET EQUIPAMENTOS'!D:O,12,FALSE))</f>
        <v/>
      </c>
      <c r="AF113" s="57" t="n">
        <v>0</v>
      </c>
      <c r="AG113" s="57">
        <f>IF(SUM(AA113,AC113,AE113)&lt;=SUM(AB113,AD113,AF113),"CONFORME ✓",IF(SUM(AA113,AC113,AE113)&gt;SUM(AB113,AD113,AF113),"NÃO CONFORME ✗"))</f>
        <v/>
      </c>
      <c r="AH113" s="72" t="n">
        <v>5</v>
      </c>
      <c r="AI113" s="72" t="n">
        <v>5</v>
      </c>
      <c r="AJ113" s="72" t="n">
        <v>4</v>
      </c>
      <c r="AK113" s="7" t="inlineStr">
        <is>
          <t>REPOSICIONAR PAINEL MONITOR E ACIONADOR INTERNO</t>
        </is>
      </c>
      <c r="AL113" s="58">
        <f>IFERROR(CALCULOS!H108,"NECESSÁRIO REVISAR DATASHEET")</f>
        <v/>
      </c>
      <c r="AM11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3" s="64">
        <f>SUM(Tabela2[[#This Row],[Nota de Prioridade Quantitativa(NOTAS: 1 PIOR NOTA; 5 MELHOR NOTA)]],Tabela2[[#This Row],[Nota de Prioridade Qualitativa(NOTAS: 1 PIOR NOTA;  5 MELHOR NOTA)]])</f>
        <v/>
      </c>
      <c r="AO113" s="7" t="n">
        <v>149822</v>
      </c>
      <c r="AP113" s="64">
        <f>SUM(Tabela2[[#This Row],[Nota de Prioridade Quantitativa(NOTAS: 1 PIOR NOTA; 5 MELHOR NOTA)]],Tabela2[[#This Row],[Nota de Prioridade Qualitativa(NOTAS: 1 PIOR NOTA;  5 MELHOR NOTA)]])</f>
        <v/>
      </c>
      <c r="AQ113" s="7" t="n"/>
      <c r="AR113" s="64">
        <f>SUM(Tabela2[[#This Row],[Nota de Prioridade Quantitativa(NOTAS: 1 PIOR NOTA; 5 MELHOR NOTA)]],Tabela2[[#This Row],[Nota de Prioridade Qualitativa(NOTAS: 1 PIOR NOTA;  5 MELHOR NOTA)]])</f>
        <v/>
      </c>
      <c r="AS113" s="7" t="n"/>
      <c r="AZ113" s="20">
        <f t="array" ref="AZ113">StatusCarga(G113,H113,J113,K113)</f>
        <v/>
      </c>
      <c r="BA113" s="20">
        <f>IF(AZ113="CONFORME","CONFORME ✓","NÃO CONFORME ✗")</f>
        <v/>
      </c>
      <c r="BB113" t="n">
        <v>0</v>
      </c>
      <c r="BC113" t="n">
        <v>120</v>
      </c>
      <c r="BD113" t="n">
        <v>0</v>
      </c>
      <c r="BE113" t="n">
        <v>10</v>
      </c>
      <c r="BF113" t="inlineStr">
        <is>
          <t>CONFORME</t>
        </is>
      </c>
    </row>
    <row r="114" hidden="1" ht="21.75" customHeight="1" thickBot="1">
      <c r="A114" s="77" t="inlineStr">
        <is>
          <t>Mariana</t>
        </is>
      </c>
      <c r="B114" s="77" t="inlineStr">
        <is>
          <t>Fabrica Nova</t>
        </is>
      </c>
      <c r="C114" s="80" t="inlineStr">
        <is>
          <t>MN1174</t>
        </is>
      </c>
      <c r="D114" s="80" t="inlineStr">
        <is>
          <t>AFEX</t>
        </is>
      </c>
      <c r="E114" s="78" t="inlineStr">
        <is>
          <t>CATERPILLAR</t>
        </is>
      </c>
      <c r="F114" s="80" t="inlineStr">
        <is>
          <t>cat 16M</t>
        </is>
      </c>
      <c r="G114" s="81">
        <f>IFERROR(IF(F114=$AB$2,"",VLOOKUP(F114,'DATASHEET EQUIPAMENTOS'!D:N,2,FALSE)),"")</f>
        <v/>
      </c>
      <c r="H114" s="82" t="inlineStr">
        <is>
          <t>1x60lbs</t>
        </is>
      </c>
      <c r="I114" s="57">
        <f>_xlfn.XLOOKUP(Tabela2[[#This Row],[Modelo]],'DATASHEET EQUIPAMENTOS'!D:D,'DATASHEET EQUIPAMENTOS'!P:P,"",0,1)</f>
        <v/>
      </c>
      <c r="J114" s="81">
        <f>IF(F114=$Z$2,"",VLOOKUP(F114,'DATASHEET EQUIPAMENTOS'!D:N,3,FALSE))</f>
        <v/>
      </c>
      <c r="K114" s="85" t="inlineStr">
        <is>
          <t>1x5gal</t>
        </is>
      </c>
      <c r="L114" s="95">
        <f>IF(AZ114="CONFORME","CONFORME ✓","NÃO CONFORME ✗")</f>
        <v/>
      </c>
      <c r="M114" s="102">
        <f>IF(F114=$Z$2,"",VLOOKUP(F114,'DATASHEET EQUIPAMENTOS'!D:N,4,FALSE))</f>
        <v/>
      </c>
      <c r="N114" s="108" t="n">
        <v>4</v>
      </c>
      <c r="O114" s="102">
        <f>IF(F114=$Z$2,"",VLOOKUP(F114,'DATASHEET EQUIPAMENTOS'!D:N,5,FALSE))</f>
        <v/>
      </c>
      <c r="P114" s="103" t="n">
        <v>2</v>
      </c>
      <c r="Q114" s="102">
        <f>IF(F114=$Z$2,"",VLOOKUP(F114,'DATASHEET EQUIPAMENTOS'!D:N,6,FALSE))</f>
        <v/>
      </c>
      <c r="R114" s="104" t="n"/>
      <c r="S114" s="95">
        <f>IF(Tabela2[[#This Row],[Instalado Sensor Motor]]="Linear","CONFORME ✓",IF(SUM(M114,O114,Q114)&lt;SUM(N114,P114,R114),"CONFORME ✓",IF(SUM(M114,O114,Q114)=SUM(N114,P114,R114),"CONFORME ✓","NÃO CONFORME ✗")))</f>
        <v/>
      </c>
      <c r="T114" s="91">
        <f>IF(F114=$Z$2,"",VLOOKUP(F114,'DATASHEET EQUIPAMENTOS'!D:N,7,FALSE))</f>
        <v/>
      </c>
      <c r="U114" s="57" t="n">
        <v>6</v>
      </c>
      <c r="V114" s="56">
        <f>IF(F114=$Z$2,"",VLOOKUP(F114,'DATASHEET EQUIPAMENTOS'!D:N,8,FALSE))</f>
        <v/>
      </c>
      <c r="W114" s="57" t="n">
        <v>6</v>
      </c>
      <c r="X114" s="56">
        <f>IF(F114=$Z$2,"",VLOOKUP(F114,'DATASHEET EQUIPAMENTOS'!D:N,9,FALSE))</f>
        <v/>
      </c>
      <c r="Y114" s="57" t="n"/>
      <c r="Z114" s="57">
        <f>IF(SUM(T114,V114,X114)&lt;=SUM(U114,W114,Y114),"CONFORME ✓",IF(SUM(T114,V114,X114)&gt;SUM(U114,W114,Y114),"NÃO CONFORME ✗"))</f>
        <v/>
      </c>
      <c r="AA114" s="56">
        <f>IF(F114=$Z$2,"",VLOOKUP(F114,'DATASHEET EQUIPAMENTOS'!D:N,10,FALSE))</f>
        <v/>
      </c>
      <c r="AB114" s="57" t="n">
        <v>3</v>
      </c>
      <c r="AC114" s="56">
        <f>IF(F114=$Z$2,"",VLOOKUP(F114,'DATASHEET EQUIPAMENTOS'!D:N,11,FALSE))</f>
        <v/>
      </c>
      <c r="AD114" s="57" t="n"/>
      <c r="AE114" s="56">
        <f>IF(F114=$Z$2,"",VLOOKUP(F114,'DATASHEET EQUIPAMENTOS'!D:O,12,FALSE))</f>
        <v/>
      </c>
      <c r="AF114" s="57" t="n"/>
      <c r="AG114" s="57">
        <f>IF(SUM(AA114,AC114,AE114)&lt;=SUM(AB114,AD114,AF114),"CONFORME ✓",IF(SUM(AA114,AC114,AE114)&gt;SUM(AB114,AD114,AF114),"NÃO CONFORME ✗"))</f>
        <v/>
      </c>
      <c r="AH114" s="72" t="n"/>
      <c r="AI114" s="72" t="n"/>
      <c r="AJ114" s="72" t="n"/>
      <c r="AK114" s="7" t="inlineStr">
        <is>
          <t>O SISTEMA NÃO POSSUI BICOS EM BOMNAS HIDRAULICA</t>
        </is>
      </c>
      <c r="AL114" s="58">
        <f>IFERROR(CALCULOS!H109,"NECESSÁRIO REVISAR DATASHEET")</f>
        <v/>
      </c>
      <c r="AM11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4" s="64">
        <f>SUM(Tabela2[[#This Row],[Nota de Prioridade Quantitativa(NOTAS: 1 PIOR NOTA; 5 MELHOR NOTA)]],Tabela2[[#This Row],[Nota de Prioridade Qualitativa(NOTAS: 1 PIOR NOTA;  5 MELHOR NOTA)]])</f>
        <v/>
      </c>
      <c r="AO114" s="7" t="n">
        <v>151440</v>
      </c>
      <c r="AP114" s="64">
        <f>SUM(Tabela2[[#This Row],[Nota de Prioridade Quantitativa(NOTAS: 1 PIOR NOTA; 5 MELHOR NOTA)]],Tabela2[[#This Row],[Nota de Prioridade Qualitativa(NOTAS: 1 PIOR NOTA;  5 MELHOR NOTA)]])</f>
        <v/>
      </c>
      <c r="AQ114" s="7" t="n"/>
      <c r="AR114" s="64">
        <f>SUM(Tabela2[[#This Row],[Nota de Prioridade Quantitativa(NOTAS: 1 PIOR NOTA; 5 MELHOR NOTA)]],Tabela2[[#This Row],[Nota de Prioridade Qualitativa(NOTAS: 1 PIOR NOTA;  5 MELHOR NOTA)]])</f>
        <v/>
      </c>
      <c r="AS114" s="7" t="n"/>
      <c r="AZ114" s="20">
        <f t="array" ref="AZ114">StatusCarga(G114,H114,J114,K114)</f>
        <v/>
      </c>
      <c r="BA114" s="20">
        <f>IF(AZ114="CONFORME","CONFORME ✓","NÃO CONFORME ✗")</f>
        <v/>
      </c>
      <c r="BB114" t="n">
        <v>0</v>
      </c>
      <c r="BC114" t="n">
        <v>60</v>
      </c>
      <c r="BD114" t="n">
        <v>0</v>
      </c>
      <c r="BE114" t="n">
        <v>5</v>
      </c>
      <c r="BF114" t="inlineStr">
        <is>
          <t>CONFORME</t>
        </is>
      </c>
    </row>
    <row r="115" hidden="1" ht="21.75" customHeight="1" thickBot="1">
      <c r="A115" s="77" t="inlineStr">
        <is>
          <t>VGR</t>
        </is>
      </c>
      <c r="B115" s="77" t="inlineStr">
        <is>
          <t>Aboboras</t>
        </is>
      </c>
      <c r="C115" s="80" t="inlineStr">
        <is>
          <t>EM3011</t>
        </is>
      </c>
      <c r="D115" s="80" t="inlineStr">
        <is>
          <t>AFEX</t>
        </is>
      </c>
      <c r="E115" s="78" t="inlineStr">
        <is>
          <t>KOMATSU</t>
        </is>
      </c>
      <c r="F115" s="80" t="inlineStr">
        <is>
          <t>KOMATSU PC2000</t>
        </is>
      </c>
      <c r="G115" s="81">
        <f>IFERROR(IF(F115=$AB$2,"",VLOOKUP(F115,'DATASHEET EQUIPAMENTOS'!D:N,2,FALSE)),"")</f>
        <v/>
      </c>
      <c r="H115" s="82" t="inlineStr">
        <is>
          <t>6x30lbs</t>
        </is>
      </c>
      <c r="I115" s="57">
        <f>_xlfn.XLOOKUP(Tabela2[[#This Row],[Modelo]],'DATASHEET EQUIPAMENTOS'!D:D,'DATASHEET EQUIPAMENTOS'!P:P,"",0,1)</f>
        <v/>
      </c>
      <c r="J115" s="81">
        <f>IF(F115=$Z$2,"",VLOOKUP(F115,'DATASHEET EQUIPAMENTOS'!D:N,3,FALSE))</f>
        <v/>
      </c>
      <c r="K115" s="85" t="n">
        <v>0</v>
      </c>
      <c r="L115" s="95">
        <f>IF(AZ115="CONFORME","CONFORME ✓","NÃO CONFORME ✗")</f>
        <v/>
      </c>
      <c r="M115" s="102">
        <f>IF(F115=$Z$2,"",VLOOKUP(F115,'DATASHEET EQUIPAMENTOS'!D:N,4,FALSE))</f>
        <v/>
      </c>
      <c r="N115" s="108" t="n">
        <v>6</v>
      </c>
      <c r="O115" s="102">
        <f>IF(F115=$Z$2,"",VLOOKUP(F115,'DATASHEET EQUIPAMENTOS'!D:N,5,FALSE))</f>
        <v/>
      </c>
      <c r="P115" s="103" t="n">
        <v>2</v>
      </c>
      <c r="Q115" s="102">
        <f>IF(F115=$Z$2,"",VLOOKUP(F115,'DATASHEET EQUIPAMENTOS'!D:N,6,FALSE))</f>
        <v/>
      </c>
      <c r="R115" s="104" t="n">
        <v>3</v>
      </c>
      <c r="S115" s="95">
        <f>IF(Tabela2[[#This Row],[Instalado Sensor Motor]]="Linear","CONFORME ✓",IF(SUM(M115,O115,Q115)&lt;SUM(N115,P115,R115),"CONFORME ✓",IF(SUM(M115,O115,Q115)=SUM(N115,P115,R115),"CONFORME ✓","NÃO CONFORME ✗")))</f>
        <v/>
      </c>
      <c r="T115" s="91">
        <f>IF(F115=$Z$2,"",VLOOKUP(F115,'DATASHEET EQUIPAMENTOS'!D:N,7,FALSE))</f>
        <v/>
      </c>
      <c r="U115" s="57" t="n">
        <v>24</v>
      </c>
      <c r="V115" s="56">
        <f>IF(F115=$Z$2,"",VLOOKUP(F115,'DATASHEET EQUIPAMENTOS'!D:N,8,FALSE))</f>
        <v/>
      </c>
      <c r="W115" s="57" t="n">
        <v>6</v>
      </c>
      <c r="X115" s="56">
        <f>IF(F115=$Z$2,"",VLOOKUP(F115,'DATASHEET EQUIPAMENTOS'!D:N,9,FALSE))</f>
        <v/>
      </c>
      <c r="Y115" s="57" t="n">
        <v>6</v>
      </c>
      <c r="Z115" s="57">
        <f>IF(SUM(T115,V115,X115)&lt;=SUM(U115,W115,Y115),"CONFORME ✓",IF(SUM(T115,V115,X115)&gt;SUM(U115,W115,Y115),"NÃO CONFORME ✗"))</f>
        <v/>
      </c>
      <c r="AA115" s="56">
        <f>IF(F115=$Z$2,"",VLOOKUP(F115,'DATASHEET EQUIPAMENTOS'!D:N,10,FALSE))</f>
        <v/>
      </c>
      <c r="AB115" s="57" t="n"/>
      <c r="AC115" s="56">
        <f>IF(F115=$Z$2,"",VLOOKUP(F115,'DATASHEET EQUIPAMENTOS'!D:N,11,FALSE))</f>
        <v/>
      </c>
      <c r="AD115" s="57" t="n"/>
      <c r="AE115" s="56">
        <f>IF(F115=$Z$2,"",VLOOKUP(F115,'DATASHEET EQUIPAMENTOS'!D:O,12,FALSE))</f>
        <v/>
      </c>
      <c r="AF115" s="57" t="n"/>
      <c r="AG115" s="57">
        <f>IF(SUM(AA115,AC115,AE115)&lt;=SUM(AB115,AD115,AF115),"CONFORME ✓",IF(SUM(AA115,AC115,AE115)&gt;SUM(AB115,AD115,AF115),"NÃO CONFORME ✗"))</f>
        <v/>
      </c>
      <c r="AH115" s="72" t="n">
        <v>3.5</v>
      </c>
      <c r="AI115" s="72" t="n">
        <v>2</v>
      </c>
      <c r="AJ115" s="72" t="n">
        <v>5</v>
      </c>
      <c r="AK115" s="7" t="inlineStr">
        <is>
          <t>REPOSICIONAR CABOS DOS SENSORES; REPOSICIONAR BICOS DE AGENTE PQS; ADEQUAR FIXAÇÃO DAS MANGUEIRAS DE DISTRIBUIÇÃO</t>
        </is>
      </c>
      <c r="AL115" s="58">
        <f>IFERROR(CALCULOS!H110,"NECESSÁRIO REVISAR DATASHEET")</f>
        <v/>
      </c>
      <c r="AM11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5" s="64">
        <f>SUM(Tabela2[[#This Row],[Nota de Prioridade Quantitativa(NOTAS: 1 PIOR NOTA; 5 MELHOR NOTA)]],Tabela2[[#This Row],[Nota de Prioridade Qualitativa(NOTAS: 1 PIOR NOTA;  5 MELHOR NOTA)]])</f>
        <v/>
      </c>
      <c r="AO115" s="7" t="n">
        <v>149634</v>
      </c>
      <c r="AP115" s="64">
        <f>SUM(Tabela2[[#This Row],[Nota de Prioridade Quantitativa(NOTAS: 1 PIOR NOTA; 5 MELHOR NOTA)]],Tabela2[[#This Row],[Nota de Prioridade Qualitativa(NOTAS: 1 PIOR NOTA;  5 MELHOR NOTA)]])</f>
        <v/>
      </c>
      <c r="AQ115" s="7" t="inlineStr">
        <is>
          <t>Qualificado por Rennan</t>
        </is>
      </c>
      <c r="AR115" s="64">
        <f>SUM(Tabela2[[#This Row],[Nota de Prioridade Quantitativa(NOTAS: 1 PIOR NOTA; 5 MELHOR NOTA)]],Tabela2[[#This Row],[Nota de Prioridade Qualitativa(NOTAS: 1 PIOR NOTA;  5 MELHOR NOTA)]])</f>
        <v/>
      </c>
      <c r="AS115" s="7" t="n"/>
      <c r="AZ115" s="20">
        <f t="array" ref="AZ115">StatusCarga(G115,H115,J115,K115)</f>
        <v/>
      </c>
      <c r="BA115" s="20">
        <f>IF(AZ115="CONFORME","CONFORME ✓","NÃO CONFORME ✗")</f>
        <v/>
      </c>
      <c r="BB115" t="n">
        <v>0</v>
      </c>
      <c r="BC115" t="n">
        <v>180</v>
      </c>
      <c r="BD115" t="n">
        <v>0</v>
      </c>
      <c r="BE115" t="n">
        <v>0</v>
      </c>
      <c r="BF115" t="inlineStr">
        <is>
          <t>CONFORME</t>
        </is>
      </c>
    </row>
    <row r="116" hidden="1" ht="21.75" customHeight="1" thickBot="1">
      <c r="A116" s="77" t="inlineStr">
        <is>
          <t>Mariana</t>
        </is>
      </c>
      <c r="B116" s="77" t="inlineStr">
        <is>
          <t>Fazendão</t>
        </is>
      </c>
      <c r="C116" s="80" t="inlineStr">
        <is>
          <t>TE4207</t>
        </is>
      </c>
      <c r="D116" s="80" t="inlineStr">
        <is>
          <t>AFEX</t>
        </is>
      </c>
      <c r="E116" s="78" t="inlineStr">
        <is>
          <t>CATERPILLAR</t>
        </is>
      </c>
      <c r="F116" s="80" t="inlineStr">
        <is>
          <t>CAT D10T</t>
        </is>
      </c>
      <c r="G116" s="81">
        <f>IFERROR(IF(F116=$AB$2,"",VLOOKUP(F116,'DATASHEET EQUIPAMENTOS'!D:N,2,FALSE)),"")</f>
        <v/>
      </c>
      <c r="H116" s="82" t="inlineStr">
        <is>
          <t>1x60lbs</t>
        </is>
      </c>
      <c r="I116" s="57">
        <f>_xlfn.XLOOKUP(Tabela2[[#This Row],[Modelo]],'DATASHEET EQUIPAMENTOS'!D:D,'DATASHEET EQUIPAMENTOS'!P:P,"",0,1)</f>
        <v/>
      </c>
      <c r="J116" s="81">
        <f>IF(F116=$Z$2,"",VLOOKUP(F116,'DATASHEET EQUIPAMENTOS'!D:N,3,FALSE))</f>
        <v/>
      </c>
      <c r="K116" s="85" t="n">
        <v>0</v>
      </c>
      <c r="L116" s="95">
        <f>IF(AZ116="CONFORME","CONFORME ✓","NÃO CONFORME ✗")</f>
        <v/>
      </c>
      <c r="M116" s="102">
        <f>IF(F116=$Z$2,"",VLOOKUP(F116,'DATASHEET EQUIPAMENTOS'!D:N,4,FALSE))</f>
        <v/>
      </c>
      <c r="N116" s="108" t="n">
        <v>4</v>
      </c>
      <c r="O116" s="102">
        <f>IF(F116=$Z$2,"",VLOOKUP(F116,'DATASHEET EQUIPAMENTOS'!D:N,5,FALSE))</f>
        <v/>
      </c>
      <c r="P116" s="103" t="n">
        <v>0</v>
      </c>
      <c r="Q116" s="102">
        <f>IF(F116=$Z$2,"",VLOOKUP(F116,'DATASHEET EQUIPAMENTOS'!D:N,6,FALSE))</f>
        <v/>
      </c>
      <c r="R116" s="104" t="n">
        <v>2</v>
      </c>
      <c r="S116" s="95">
        <f>IF(Tabela2[[#This Row],[Instalado Sensor Motor]]="Linear","CONFORME ✓",IF(SUM(M116,O116,Q116)&lt;SUM(N116,P116,R116),"CONFORME ✓",IF(SUM(M116,O116,Q116)=SUM(N116,P116,R116),"CONFORME ✓","NÃO CONFORME ✗")))</f>
        <v/>
      </c>
      <c r="T116" s="91">
        <f>IF(F116=$Z$2,"",VLOOKUP(F116,'DATASHEET EQUIPAMENTOS'!D:N,7,FALSE))</f>
        <v/>
      </c>
      <c r="U116" s="57" t="n">
        <v>6</v>
      </c>
      <c r="V116" s="56">
        <f>IF(F116=$Z$2,"",VLOOKUP(F116,'DATASHEET EQUIPAMENTOS'!D:N,8,FALSE))</f>
        <v/>
      </c>
      <c r="W116" s="57" t="n"/>
      <c r="X116" s="56">
        <f>IF(F116=$Z$2,"",VLOOKUP(F116,'DATASHEET EQUIPAMENTOS'!D:N,9,FALSE))</f>
        <v/>
      </c>
      <c r="Y116" s="57" t="n">
        <v>6</v>
      </c>
      <c r="Z116" s="57">
        <f>IF(SUM(T116,V116,X116)&lt;=SUM(U116,W116,Y116),"CONFORME ✓",IF(SUM(T116,V116,X116)&gt;SUM(U116,W116,Y116),"NÃO CONFORME ✗"))</f>
        <v/>
      </c>
      <c r="AA116" s="56">
        <f>IF(F116=$Z$2,"",VLOOKUP(F116,'DATASHEET EQUIPAMENTOS'!D:N,10,FALSE))</f>
        <v/>
      </c>
      <c r="AB116" s="57" t="n"/>
      <c r="AC116" s="56">
        <f>IF(F116=$Z$2,"",VLOOKUP(F116,'DATASHEET EQUIPAMENTOS'!D:N,11,FALSE))</f>
        <v/>
      </c>
      <c r="AD116" s="57" t="n"/>
      <c r="AE116" s="56">
        <f>IF(F116=$Z$2,"",VLOOKUP(F116,'DATASHEET EQUIPAMENTOS'!D:O,12,FALSE))</f>
        <v/>
      </c>
      <c r="AF116" s="57" t="n"/>
      <c r="AG116" s="57">
        <f>IF(SUM(AA116,AC116,AE116)&lt;=SUM(AB116,AD116,AF116),"CONFORME ✓",IF(SUM(AA116,AC116,AE116)&gt;SUM(AB116,AD116,AF116),"NÃO CONFORME ✗"))</f>
        <v/>
      </c>
      <c r="AH116" s="72" t="n"/>
      <c r="AI116" s="72" t="n"/>
      <c r="AJ116" s="72" t="n"/>
      <c r="AK116" s="7" t="inlineStr">
        <is>
          <t>NAO POSSUI BICOS NA TRANSMISSÃO DO EQUIPAMENTO, SISTEMA NAO POSSUI CABO LINEAR E NAO POSSUI AGENTE LIQUIDO.</t>
        </is>
      </c>
      <c r="AL116" s="58">
        <f>IFERROR(CALCULOS!H111,"NECESSÁRIO REVISAR DATASHEET")</f>
        <v/>
      </c>
      <c r="AM11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6" s="64">
        <f>SUM(Tabela2[[#This Row],[Nota de Prioridade Quantitativa(NOTAS: 1 PIOR NOTA; 5 MELHOR NOTA)]],Tabela2[[#This Row],[Nota de Prioridade Qualitativa(NOTAS: 1 PIOR NOTA;  5 MELHOR NOTA)]])</f>
        <v/>
      </c>
      <c r="AO116" s="7" t="n">
        <v>151387</v>
      </c>
      <c r="AP116" s="64">
        <f>SUM(Tabela2[[#This Row],[Nota de Prioridade Quantitativa(NOTAS: 1 PIOR NOTA; 5 MELHOR NOTA)]],Tabela2[[#This Row],[Nota de Prioridade Qualitativa(NOTAS: 1 PIOR NOTA;  5 MELHOR NOTA)]])</f>
        <v/>
      </c>
      <c r="AQ116" s="7" t="n"/>
      <c r="AR116" s="64">
        <f>SUM(Tabela2[[#This Row],[Nota de Prioridade Quantitativa(NOTAS: 1 PIOR NOTA; 5 MELHOR NOTA)]],Tabela2[[#This Row],[Nota de Prioridade Qualitativa(NOTAS: 1 PIOR NOTA;  5 MELHOR NOTA)]])</f>
        <v/>
      </c>
      <c r="AS116" s="7" t="n"/>
      <c r="AZ116" s="20">
        <f t="array" ref="AZ116">StatusCarga(G116,H116,J116,K116)</f>
        <v/>
      </c>
      <c r="BA116" s="20">
        <f>IF(AZ116="CONFORME","CONFORME ✓","NÃO CONFORME ✗")</f>
        <v/>
      </c>
      <c r="BB116" t="n">
        <v>0</v>
      </c>
      <c r="BC116" t="n">
        <v>60</v>
      </c>
      <c r="BD116" t="n">
        <v>0</v>
      </c>
      <c r="BE116" t="n">
        <v>0</v>
      </c>
      <c r="BF116" t="inlineStr">
        <is>
          <t>CONFORME</t>
        </is>
      </c>
    </row>
    <row r="117" hidden="1" ht="21.75" customHeight="1" thickBot="1">
      <c r="A117" s="77" t="inlineStr">
        <is>
          <t>VGR</t>
        </is>
      </c>
      <c r="B117" s="77" t="inlineStr">
        <is>
          <t>Aboboras</t>
        </is>
      </c>
      <c r="C117" s="80" t="inlineStr">
        <is>
          <t>CA5492</t>
        </is>
      </c>
      <c r="D117" s="80" t="inlineStr">
        <is>
          <t>AFEX</t>
        </is>
      </c>
      <c r="E117" s="78" t="inlineStr">
        <is>
          <t>CATERPILLAR</t>
        </is>
      </c>
      <c r="F117" s="80" t="inlineStr">
        <is>
          <t>cat 789D</t>
        </is>
      </c>
      <c r="G117" s="81">
        <f>IFERROR(IF(F117=$AB$2,"",VLOOKUP(F117,'DATASHEET EQUIPAMENTOS'!D:N,2,FALSE)),"")</f>
        <v/>
      </c>
      <c r="H117" s="82" t="inlineStr">
        <is>
          <t>4x30lbs</t>
        </is>
      </c>
      <c r="I117" s="57">
        <f>_xlfn.XLOOKUP(Tabela2[[#This Row],[Modelo]],'DATASHEET EQUIPAMENTOS'!D:D,'DATASHEET EQUIPAMENTOS'!P:P,"",0,1)</f>
        <v/>
      </c>
      <c r="J117" s="81">
        <f>IF(F117=$Z$2,"",VLOOKUP(F117,'DATASHEET EQUIPAMENTOS'!D:N,3,FALSE))</f>
        <v/>
      </c>
      <c r="K117" s="85" t="n">
        <v>0</v>
      </c>
      <c r="L117" s="95">
        <f>IF(AZ117="CONFORME","CONFORME ✓","NÃO CONFORME ✗")</f>
        <v/>
      </c>
      <c r="M117" s="102">
        <f>IF(F117=$Z$2,"",VLOOKUP(F117,'DATASHEET EQUIPAMENTOS'!D:N,4,FALSE))</f>
        <v/>
      </c>
      <c r="N117" s="108" t="n">
        <v>7</v>
      </c>
      <c r="O117" s="102">
        <f>IF(F117=$Z$2,"",VLOOKUP(F117,'DATASHEET EQUIPAMENTOS'!D:N,5,FALSE))</f>
        <v/>
      </c>
      <c r="P117" s="103" t="n">
        <v>2</v>
      </c>
      <c r="Q117" s="102">
        <f>IF(F117=$Z$2,"",VLOOKUP(F117,'DATASHEET EQUIPAMENTOS'!D:N,6,FALSE))</f>
        <v/>
      </c>
      <c r="R117" s="104" t="n">
        <v>2</v>
      </c>
      <c r="S117" s="95">
        <f>IF(Tabela2[[#This Row],[Instalado Sensor Motor]]="Linear","CONFORME ✓",IF(SUM(M117,O117,Q117)&lt;SUM(N117,P117,R117),"CONFORME ✓",IF(SUM(M117,O117,Q117)=SUM(N117,P117,R117),"CONFORME ✓","NÃO CONFORME ✗")))</f>
        <v/>
      </c>
      <c r="T117" s="91">
        <f>IF(F117=$Z$2,"",VLOOKUP(F117,'DATASHEET EQUIPAMENTOS'!D:N,7,FALSE))</f>
        <v/>
      </c>
      <c r="U117" s="57" t="n">
        <v>18</v>
      </c>
      <c r="V117" s="56">
        <f>IF(F117=$Z$2,"",VLOOKUP(F117,'DATASHEET EQUIPAMENTOS'!D:N,8,FALSE))</f>
        <v/>
      </c>
      <c r="W117" s="62" t="n">
        <v>3</v>
      </c>
      <c r="X117" s="56">
        <f>IF(F117=$Z$2,"",VLOOKUP(F117,'DATASHEET EQUIPAMENTOS'!D:N,9,FALSE))</f>
        <v/>
      </c>
      <c r="Y117" s="62" t="n">
        <v>3</v>
      </c>
      <c r="Z117" s="57">
        <f>IF(SUM(T117,V117,X117)&lt;=SUM(U117,W117,Y117),"CONFORME ✓",IF(SUM(T117,V117,X117)&gt;SUM(U117,W117,Y117),"NÃO CONFORME ✗"))</f>
        <v/>
      </c>
      <c r="AA117" s="56">
        <f>IF(F117=$Z$2,"",VLOOKUP(F117,'DATASHEET EQUIPAMENTOS'!D:N,10,FALSE))</f>
        <v/>
      </c>
      <c r="AB117" s="57" t="n"/>
      <c r="AC117" s="56">
        <f>IF(F117=$Z$2,"",VLOOKUP(F117,'DATASHEET EQUIPAMENTOS'!D:N,11,FALSE))</f>
        <v/>
      </c>
      <c r="AD117" s="57" t="n">
        <v>0</v>
      </c>
      <c r="AE117" s="56">
        <f>IF(F117=$Z$2,"",VLOOKUP(F117,'DATASHEET EQUIPAMENTOS'!D:O,12,FALSE))</f>
        <v/>
      </c>
      <c r="AF117" s="57" t="n">
        <v>0</v>
      </c>
      <c r="AG117" s="57">
        <f>IF(SUM(AA117,AC117,AE117)&lt;=SUM(AB117,AD117,AF117),"CONFORME ✓",IF(SUM(AA117,AC117,AE117)&gt;SUM(AB117,AD117,AF117),"NÃO CONFORME ✗"))</f>
        <v/>
      </c>
      <c r="AH117" s="72" t="n">
        <v>4</v>
      </c>
      <c r="AI117" s="72" t="n">
        <v>4</v>
      </c>
      <c r="AJ117" s="72" t="n">
        <v>4</v>
      </c>
      <c r="AK117" s="7" t="inlineStr">
        <is>
          <t>REPOSICIONAR PAINEL MONITOR E ACIONADOR INTERNO</t>
        </is>
      </c>
      <c r="AL117" s="58">
        <f>IFERROR(CALCULOS!H112,"NECESSÁRIO REVISAR DATASHEET")</f>
        <v/>
      </c>
      <c r="AM11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7" s="64">
        <f>SUM(Tabela2[[#This Row],[Nota de Prioridade Quantitativa(NOTAS: 1 PIOR NOTA; 5 MELHOR NOTA)]],Tabela2[[#This Row],[Nota de Prioridade Qualitativa(NOTAS: 1 PIOR NOTA;  5 MELHOR NOTA)]])</f>
        <v/>
      </c>
      <c r="AO117" s="7" t="n">
        <v>149409</v>
      </c>
      <c r="AP117" s="64">
        <f>SUM(Tabela2[[#This Row],[Nota de Prioridade Quantitativa(NOTAS: 1 PIOR NOTA; 5 MELHOR NOTA)]],Tabela2[[#This Row],[Nota de Prioridade Qualitativa(NOTAS: 1 PIOR NOTA;  5 MELHOR NOTA)]])</f>
        <v/>
      </c>
      <c r="AQ117" s="7" t="n"/>
      <c r="AR117" s="64">
        <f>SUM(Tabela2[[#This Row],[Nota de Prioridade Quantitativa(NOTAS: 1 PIOR NOTA; 5 MELHOR NOTA)]],Tabela2[[#This Row],[Nota de Prioridade Qualitativa(NOTAS: 1 PIOR NOTA;  5 MELHOR NOTA)]])</f>
        <v/>
      </c>
      <c r="AS117" s="7" t="n"/>
      <c r="AZ117" s="20">
        <f t="array" ref="AZ117">StatusCarga(G117,H117,J117,K117)</f>
        <v/>
      </c>
      <c r="BA117" s="20">
        <f>IF(AZ117="CONFORME","CONFORME ✓","NÃO CONFORME ✗")</f>
        <v/>
      </c>
      <c r="BB117" t="n">
        <v>0</v>
      </c>
      <c r="BC117" t="n">
        <v>120</v>
      </c>
      <c r="BD117" t="n">
        <v>0</v>
      </c>
      <c r="BE117" t="n">
        <v>0</v>
      </c>
      <c r="BF117" t="inlineStr">
        <is>
          <t>CONFORME</t>
        </is>
      </c>
    </row>
    <row r="118" ht="21.75" customHeight="1" thickBot="1">
      <c r="A118" s="151" t="inlineStr">
        <is>
          <t>itabira</t>
        </is>
      </c>
      <c r="B118" s="77" t="inlineStr">
        <is>
          <t>CONCEIÇÃO</t>
        </is>
      </c>
      <c r="C118" s="78" t="inlineStr">
        <is>
          <t>MN1168</t>
        </is>
      </c>
      <c r="D118" s="77" t="inlineStr">
        <is>
          <t>AFEX</t>
        </is>
      </c>
      <c r="E118" s="78" t="inlineStr">
        <is>
          <t>CATERPILLAR</t>
        </is>
      </c>
      <c r="F118" s="78" t="inlineStr">
        <is>
          <t>CAT 16M</t>
        </is>
      </c>
      <c r="G118" s="81">
        <f>IFERROR(IF(F118=$AB$2,"",VLOOKUP(F118,'DATASHEET EQUIPAMENTOS'!D:N,2,FALSE)),"")</f>
        <v/>
      </c>
      <c r="H118" s="82" t="inlineStr">
        <is>
          <t>1x60lbs</t>
        </is>
      </c>
      <c r="I118" s="57">
        <f>_xlfn.XLOOKUP(Tabela2[[#This Row],[Modelo]],'DATASHEET EQUIPAMENTOS'!D:D,'DATASHEET EQUIPAMENTOS'!P:P,"",0,1)</f>
        <v/>
      </c>
      <c r="J118" s="81">
        <f>IF(F118=$Z$2,"",VLOOKUP(F118,'DATASHEET EQUIPAMENTOS'!D:N,3,FALSE))</f>
        <v/>
      </c>
      <c r="K118" s="84" t="inlineStr">
        <is>
          <t>1x5gal</t>
        </is>
      </c>
      <c r="L118" s="95">
        <f>IF(AZ118="CONFORME","CONFORME ✓","NÃO CONFORME ✗")</f>
        <v/>
      </c>
      <c r="M118" s="102">
        <f>IF(F118=$Z$2,"",VLOOKUP(F118,'DATASHEET EQUIPAMENTOS'!D:N,4,FALSE))</f>
        <v/>
      </c>
      <c r="N118" s="108" t="n">
        <v>4</v>
      </c>
      <c r="O118" s="102">
        <f>IF(F118=$Z$2,"",VLOOKUP(F118,'DATASHEET EQUIPAMENTOS'!D:N,5,FALSE))</f>
        <v/>
      </c>
      <c r="P118" s="103" t="n">
        <v>6</v>
      </c>
      <c r="Q118" s="102">
        <f>IF(F118=$Z$2,"",VLOOKUP(F118,'DATASHEET EQUIPAMENTOS'!D:N,6,FALSE))</f>
        <v/>
      </c>
      <c r="R118" s="104" t="n">
        <v>2</v>
      </c>
      <c r="S118" s="95">
        <f>IF(Tabela2[[#This Row],[Instalado Sensor Motor]]="Linear","CONFORME ✓",IF(SUM(M118,O118,Q118)&lt;SUM(N118,P118,R118),"CONFORME ✓",IF(SUM(M118,O118,Q118)=SUM(N118,P118,R118),"CONFORME ✓","NÃO CONFORME ✗")))</f>
        <v/>
      </c>
      <c r="T118" s="91">
        <f>IF(F118=$Z$2,"",VLOOKUP(F118,'DATASHEET EQUIPAMENTOS'!D:N,7,FALSE))</f>
        <v/>
      </c>
      <c r="U118" s="57" t="n">
        <v>9</v>
      </c>
      <c r="V118" s="56">
        <f>IF(F118=$Z$2,"",VLOOKUP(F118,'DATASHEET EQUIPAMENTOS'!D:N,8,FALSE))</f>
        <v/>
      </c>
      <c r="W118" s="57" t="n">
        <v>15</v>
      </c>
      <c r="X118" s="56">
        <f>IF(F118=$Z$2,"",VLOOKUP(F118,'DATASHEET EQUIPAMENTOS'!D:N,9,FALSE))</f>
        <v/>
      </c>
      <c r="Y118" s="57" t="n">
        <v>6</v>
      </c>
      <c r="Z118" s="57">
        <f>IF(SUM(T118,V118,X118)&lt;=SUM(U118,W118,Y118),"CONFORME ✓",IF(SUM(T118,V118,X118)&gt;SUM(U118,W118,Y118),"NÃO CONFORME ✗"))</f>
        <v/>
      </c>
      <c r="AA118" s="56">
        <f>IF(F118=$Z$2,"",VLOOKUP(F118,'DATASHEET EQUIPAMENTOS'!D:N,10,FALSE))</f>
        <v/>
      </c>
      <c r="AB118" s="57" t="n">
        <v>3</v>
      </c>
      <c r="AC118" s="56">
        <f>IF(F118=$Z$2,"",VLOOKUP(F118,'DATASHEET EQUIPAMENTOS'!D:N,11,FALSE))</f>
        <v/>
      </c>
      <c r="AD118" s="57" t="n">
        <v>3</v>
      </c>
      <c r="AE118" s="56">
        <f>IF(F118=$Z$2,"",VLOOKUP(F118,'DATASHEET EQUIPAMENTOS'!D:O,12,FALSE))</f>
        <v/>
      </c>
      <c r="AF118" s="57" t="n">
        <v>0</v>
      </c>
      <c r="AG118" s="57">
        <f>IF(SUM(AA118,AC118,AE118)&lt;=SUM(AB118,AD118,AF118),"CONFORME ✓",IF(SUM(AA118,AC118,AE118)&gt;SUM(AB118,AD118,AF118),"NÃO CONFORME ✗"))</f>
        <v/>
      </c>
      <c r="AH118" s="72" t="n">
        <v>4</v>
      </c>
      <c r="AI118" s="72" t="n">
        <v>5</v>
      </c>
      <c r="AJ118" s="72" t="n">
        <v>5</v>
      </c>
      <c r="AK118" s="57" t="inlineStr">
        <is>
          <t>VERIFICAR BORRACHA NOS SENSORES</t>
        </is>
      </c>
      <c r="AL118" s="58">
        <f>IFERROR(CALCULOS!H113,"NECESSÁRIO REVISAR DATASHEET")</f>
        <v/>
      </c>
      <c r="AM11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8" s="64">
        <f>SUM(Tabela2[[#This Row],[Nota de Prioridade Quantitativa(NOTAS: 1 PIOR NOTA; 5 MELHOR NOTA)]],Tabela2[[#This Row],[Nota de Prioridade Qualitativa(NOTAS: 1 PIOR NOTA;  5 MELHOR NOTA)]])</f>
        <v/>
      </c>
      <c r="AO118" s="57" t="n">
        <v>149904</v>
      </c>
      <c r="AP118" s="64">
        <f>SUM(Tabela2[[#This Row],[Nota de Prioridade Quantitativa(NOTAS: 1 PIOR NOTA; 5 MELHOR NOTA)]],Tabela2[[#This Row],[Nota de Prioridade Qualitativa(NOTAS: 1 PIOR NOTA;  5 MELHOR NOTA)]])</f>
        <v/>
      </c>
      <c r="AQ118" s="7" t="n"/>
      <c r="AR118" s="64">
        <f>SUM(Tabela2[[#This Row],[Nota de Prioridade Quantitativa(NOTAS: 1 PIOR NOTA; 5 MELHOR NOTA)]],Tabela2[[#This Row],[Nota de Prioridade Qualitativa(NOTAS: 1 PIOR NOTA;  5 MELHOR NOTA)]])</f>
        <v/>
      </c>
      <c r="AS118" s="7" t="n"/>
      <c r="AZ118" s="20">
        <f t="array" ref="AZ118">StatusCarga(G118,H118,J118,K118)</f>
        <v/>
      </c>
      <c r="BA118" s="20">
        <f>IF(AZ118="CONFORME","CONFORME ✓","NÃO CONFORME ✗")</f>
        <v/>
      </c>
      <c r="BB118" t="n">
        <v>0</v>
      </c>
      <c r="BC118" t="n">
        <v>60</v>
      </c>
      <c r="BD118" t="n">
        <v>0</v>
      </c>
      <c r="BE118" t="n">
        <v>5</v>
      </c>
      <c r="BF118" t="inlineStr">
        <is>
          <t>CONFORME</t>
        </is>
      </c>
    </row>
    <row r="119" hidden="1" ht="21.75" customHeight="1" thickBot="1">
      <c r="A119" s="77" t="inlineStr">
        <is>
          <t>Paraoupeba</t>
        </is>
      </c>
      <c r="B119" s="77" t="inlineStr">
        <is>
          <t>Fábrica</t>
        </is>
      </c>
      <c r="C119" s="80" t="inlineStr">
        <is>
          <t>PM4357</t>
        </is>
      </c>
      <c r="D119" s="80" t="inlineStr">
        <is>
          <t>AFEX</t>
        </is>
      </c>
      <c r="E119" s="78" t="inlineStr">
        <is>
          <t>CATERPILLAR</t>
        </is>
      </c>
      <c r="F119" s="80" t="inlineStr">
        <is>
          <t>cat 980L</t>
        </is>
      </c>
      <c r="G119" s="81">
        <f>IFERROR(IF(F119=$AB$2,"",VLOOKUP(F119,'DATASHEET EQUIPAMENTOS'!D:N,2,FALSE)),"")</f>
        <v/>
      </c>
      <c r="H119" s="82" t="inlineStr">
        <is>
          <t>1x60lbs</t>
        </is>
      </c>
      <c r="I119" s="57">
        <f>_xlfn.XLOOKUP(Tabela2[[#This Row],[Modelo]],'DATASHEET EQUIPAMENTOS'!D:D,'DATASHEET EQUIPAMENTOS'!P:P,"",0,1)</f>
        <v/>
      </c>
      <c r="J119" s="81">
        <f>IF(F119=$Z$2,"",VLOOKUP(F119,'DATASHEET EQUIPAMENTOS'!D:N,3,FALSE))</f>
        <v/>
      </c>
      <c r="K119" s="85" t="n">
        <v>0</v>
      </c>
      <c r="L119" s="95">
        <f>IF(AZ119="CONFORME","CONFORME ✓","NÃO CONFORME ✗")</f>
        <v/>
      </c>
      <c r="M119" s="102">
        <f>IF(F119=$Z$2,"",VLOOKUP(F119,'DATASHEET EQUIPAMENTOS'!D:N,4,FALSE))</f>
        <v/>
      </c>
      <c r="N119" s="108" t="n">
        <v>4</v>
      </c>
      <c r="O119" s="102">
        <f>IF(F119=$Z$2,"",VLOOKUP(F119,'DATASHEET EQUIPAMENTOS'!D:N,5,FALSE))</f>
        <v/>
      </c>
      <c r="P119" s="103" t="n"/>
      <c r="Q119" s="102">
        <f>IF(F119=$Z$2,"",VLOOKUP(F119,'DATASHEET EQUIPAMENTOS'!D:N,6,FALSE))</f>
        <v/>
      </c>
      <c r="R119" s="104" t="n"/>
      <c r="S119" s="95">
        <f>IF(Tabela2[[#This Row],[Instalado Sensor Motor]]="Linear","CONFORME ✓",IF(SUM(M119,O119,Q119)&lt;SUM(N119,P119,R119),"CONFORME ✓",IF(SUM(M119,O119,Q119)=SUM(N119,P119,R119),"CONFORME ✓","NÃO CONFORME ✗")))</f>
        <v/>
      </c>
      <c r="T119" s="91">
        <f>IF(F119=$Z$2,"",VLOOKUP(F119,'DATASHEET EQUIPAMENTOS'!D:N,7,FALSE))</f>
        <v/>
      </c>
      <c r="U119" s="57" t="n">
        <v>6</v>
      </c>
      <c r="V119" s="56">
        <f>IF(F119=$Z$2,"",VLOOKUP(F119,'DATASHEET EQUIPAMENTOS'!D:N,8,FALSE))</f>
        <v/>
      </c>
      <c r="W119" s="57" t="n">
        <v>6</v>
      </c>
      <c r="X119" s="56">
        <f>IF(F119=$Z$2,"",VLOOKUP(F119,'DATASHEET EQUIPAMENTOS'!D:N,9,FALSE))</f>
        <v/>
      </c>
      <c r="Y119" s="57" t="n"/>
      <c r="Z119" s="57">
        <f>IF(SUM(T119,V119,X119)&lt;=SUM(U119,W119,Y119),"CONFORME ✓",IF(SUM(T119,V119,X119)&gt;SUM(U119,W119,Y119),"NÃO CONFORME ✗"))</f>
        <v/>
      </c>
      <c r="AA119" s="56">
        <f>IF(F119=$Z$2,"",VLOOKUP(F119,'DATASHEET EQUIPAMENTOS'!D:N,10,FALSE))</f>
        <v/>
      </c>
      <c r="AB119" s="57" t="n"/>
      <c r="AC119" s="56">
        <f>IF(F119=$Z$2,"",VLOOKUP(F119,'DATASHEET EQUIPAMENTOS'!D:N,11,FALSE))</f>
        <v/>
      </c>
      <c r="AD119" s="57" t="n"/>
      <c r="AE119" s="56">
        <f>IF(F119=$Z$2,"",VLOOKUP(F119,'DATASHEET EQUIPAMENTOS'!D:O,12,FALSE))</f>
        <v/>
      </c>
      <c r="AF119" s="57" t="n"/>
      <c r="AG119" s="57">
        <f>IF(SUM(AA119,AC119,AE119)&lt;=SUM(AB119,AD119,AF119),"CONFORME ✓",IF(SUM(AA119,AC119,AE119)&gt;SUM(AB119,AD119,AF119),"NÃO CONFORME ✗"))</f>
        <v/>
      </c>
      <c r="AH119" s="72" t="n">
        <v>2</v>
      </c>
      <c r="AI119" s="72" t="n">
        <v>3</v>
      </c>
      <c r="AJ119" s="72" t="n">
        <v>5</v>
      </c>
      <c r="AK119" s="7" t="inlineStr">
        <is>
          <t>ADEQUAR QUANTIDADE DE SENSORES NAS BOMBAS E TRANSMISSÃO; ADEQUAR POSICIONAMENTO DAS MANGUEIRAS DE DISTRIBUIÇÃO PQS</t>
        </is>
      </c>
      <c r="AL119" s="58">
        <f>IFERROR(CALCULOS!H114,"NECESSÁRIO REVISAR DATASHEET")</f>
        <v/>
      </c>
      <c r="AM11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19" s="64">
        <f>SUM(Tabela2[[#This Row],[Nota de Prioridade Quantitativa(NOTAS: 1 PIOR NOTA; 5 MELHOR NOTA)]],Tabela2[[#This Row],[Nota de Prioridade Qualitativa(NOTAS: 1 PIOR NOTA;  5 MELHOR NOTA)]])</f>
        <v/>
      </c>
      <c r="AO119" s="7" t="n">
        <v>150480</v>
      </c>
      <c r="AP119" s="64">
        <f>SUM(Tabela2[[#This Row],[Nota de Prioridade Quantitativa(NOTAS: 1 PIOR NOTA; 5 MELHOR NOTA)]],Tabela2[[#This Row],[Nota de Prioridade Qualitativa(NOTAS: 1 PIOR NOTA;  5 MELHOR NOTA)]])</f>
        <v/>
      </c>
      <c r="AQ119" s="7" t="n"/>
      <c r="AR119" s="64">
        <f>SUM(Tabela2[[#This Row],[Nota de Prioridade Quantitativa(NOTAS: 1 PIOR NOTA; 5 MELHOR NOTA)]],Tabela2[[#This Row],[Nota de Prioridade Qualitativa(NOTAS: 1 PIOR NOTA;  5 MELHOR NOTA)]])</f>
        <v/>
      </c>
      <c r="AS119" s="7" t="n"/>
      <c r="AZ119" s="20">
        <f t="array" ref="AZ119">StatusCarga(G119,H119,J119,K119)</f>
        <v/>
      </c>
      <c r="BA119" s="20">
        <f>IF(AZ119="CONFORME","CONFORME ✓","NÃO CONFORME ✗")</f>
        <v/>
      </c>
      <c r="BB119" t="n">
        <v>0</v>
      </c>
      <c r="BC119" t="n">
        <v>60</v>
      </c>
      <c r="BD119" t="n">
        <v>0</v>
      </c>
      <c r="BE119" t="n">
        <v>0</v>
      </c>
      <c r="BF119" t="inlineStr">
        <is>
          <t>CONFORME</t>
        </is>
      </c>
    </row>
    <row r="120" hidden="1" ht="21.75" customHeight="1" thickBot="1">
      <c r="A120" s="77" t="inlineStr">
        <is>
          <t>Mariana</t>
        </is>
      </c>
      <c r="B120" s="77" t="inlineStr">
        <is>
          <t>Capanema</t>
        </is>
      </c>
      <c r="C120" s="80" t="inlineStr">
        <is>
          <t>PM6316</t>
        </is>
      </c>
      <c r="D120" s="80" t="inlineStr">
        <is>
          <t>SEM INFORMAÇÕES</t>
        </is>
      </c>
      <c r="E120" s="78" t="inlineStr">
        <is>
          <t>CATERPILLAR</t>
        </is>
      </c>
      <c r="F120" s="80" t="inlineStr">
        <is>
          <t>CAT 994K</t>
        </is>
      </c>
      <c r="G120" s="81">
        <f>IFERROR(IF(F120=$AB$2,"",VLOOKUP(F120,'DATASHEET EQUIPAMENTOS'!D:N,2,FALSE)),"")</f>
        <v/>
      </c>
      <c r="H120" s="82" t="inlineStr">
        <is>
          <t>3x60lbs</t>
        </is>
      </c>
      <c r="I120" s="57">
        <f>_xlfn.XLOOKUP(Tabela2[[#This Row],[Modelo]],'DATASHEET EQUIPAMENTOS'!D:D,'DATASHEET EQUIPAMENTOS'!P:P,"",0,1)</f>
        <v/>
      </c>
      <c r="J120" s="81">
        <f>IF(F120=$Z$2,"",VLOOKUP(F120,'DATASHEET EQUIPAMENTOS'!D:N,3,FALSE))</f>
        <v/>
      </c>
      <c r="K120" s="85" t="inlineStr">
        <is>
          <t>1x15gal</t>
        </is>
      </c>
      <c r="L120" s="95">
        <f>IF(AZ120="CONFORME","CONFORME ✓","NÃO CONFORME ✗")</f>
        <v/>
      </c>
      <c r="M120" s="102">
        <f>IF(F120=$Z$2,"",VLOOKUP(F120,'DATASHEET EQUIPAMENTOS'!D:N,4,FALSE))</f>
        <v/>
      </c>
      <c r="N120" s="108" t="n"/>
      <c r="O120" s="102">
        <f>IF(F120=$Z$2,"",VLOOKUP(F120,'DATASHEET EQUIPAMENTOS'!D:N,5,FALSE))</f>
        <v/>
      </c>
      <c r="P120" s="103" t="n"/>
      <c r="Q120" s="102">
        <f>IF(F120=$Z$2,"",VLOOKUP(F120,'DATASHEET EQUIPAMENTOS'!D:N,6,FALSE))</f>
        <v/>
      </c>
      <c r="R120" s="104" t="n"/>
      <c r="S120" s="95">
        <f>IF(Tabela2[[#This Row],[Instalado Sensor Motor]]="Linear","CONFORME ✓",IF(SUM(M120,O120,Q120)&lt;SUM(N120,P120,R120),"CONFORME ✓",IF(SUM(M120,O120,Q120)=SUM(N120,P120,R120),"CONFORME ✓","NÃO CONFORME ✗")))</f>
        <v/>
      </c>
      <c r="T120" s="91">
        <f>IF(F120=$Z$2,"",VLOOKUP(F120,'DATASHEET EQUIPAMENTOS'!D:N,7,FALSE))</f>
        <v/>
      </c>
      <c r="U120" s="57" t="n">
        <v>15</v>
      </c>
      <c r="V120" s="56">
        <f>IF(F120=$Z$2,"",VLOOKUP(F120,'DATASHEET EQUIPAMENTOS'!D:N,8,FALSE))</f>
        <v/>
      </c>
      <c r="W120" s="57" t="n">
        <v>15</v>
      </c>
      <c r="X120" s="56">
        <f>IF(F120=$Z$2,"",VLOOKUP(F120,'DATASHEET EQUIPAMENTOS'!D:N,9,FALSE))</f>
        <v/>
      </c>
      <c r="Y120" s="57" t="n">
        <v>9</v>
      </c>
      <c r="Z120" s="57">
        <f>IF(SUM(T120,V120,X120)&lt;=SUM(U120,W120,Y120),"CONFORME ✓",IF(SUM(T120,V120,X120)&gt;SUM(U120,W120,Y120),"NÃO CONFORME ✗"))</f>
        <v/>
      </c>
      <c r="AA120" s="56">
        <f>IF(F120=$Z$2,"",VLOOKUP(F120,'DATASHEET EQUIPAMENTOS'!D:N,10,FALSE))</f>
        <v/>
      </c>
      <c r="AB120" s="57" t="n">
        <v>16</v>
      </c>
      <c r="AC120" s="56">
        <f>IF(F120=$Z$2,"",VLOOKUP(F120,'DATASHEET EQUIPAMENTOS'!D:N,11,FALSE))</f>
        <v/>
      </c>
      <c r="AD120" s="57" t="n">
        <v>15</v>
      </c>
      <c r="AE120" s="56">
        <f>IF(F120=$Z$2,"",VLOOKUP(F120,'DATASHEET EQUIPAMENTOS'!D:O,12,FALSE))</f>
        <v/>
      </c>
      <c r="AF120" s="57" t="n">
        <v>15</v>
      </c>
      <c r="AG120" s="57">
        <f>IF(SUM(AA120,AC120,AE120)&lt;=SUM(AB120,AD120,AF120),"CONFORME ✓",IF(SUM(AA120,AC120,AE120)&gt;SUM(AB120,AD120,AF120),"NÃO CONFORME ✗"))</f>
        <v/>
      </c>
      <c r="AH120" s="72" t="n"/>
      <c r="AI120" s="72" t="n"/>
      <c r="AJ120" s="72" t="n"/>
      <c r="AK120" s="7" t="inlineStr">
        <is>
          <t>TODOS COMPONENTES ACIMA ESTAO CONFORME</t>
        </is>
      </c>
      <c r="AL120" s="58">
        <f>IFERROR(CALCULOS!H115,"NECESSÁRIO REVISAR DATASHEET")</f>
        <v/>
      </c>
      <c r="AM12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0" s="64">
        <f>SUM(Tabela2[[#This Row],[Nota de Prioridade Quantitativa(NOTAS: 1 PIOR NOTA; 5 MELHOR NOTA)]],Tabela2[[#This Row],[Nota de Prioridade Qualitativa(NOTAS: 1 PIOR NOTA;  5 MELHOR NOTA)]])</f>
        <v/>
      </c>
      <c r="AO120" s="7" t="n">
        <v>151370</v>
      </c>
      <c r="AP120" s="64">
        <f>SUM(Tabela2[[#This Row],[Nota de Prioridade Quantitativa(NOTAS: 1 PIOR NOTA; 5 MELHOR NOTA)]],Tabela2[[#This Row],[Nota de Prioridade Qualitativa(NOTAS: 1 PIOR NOTA;  5 MELHOR NOTA)]])</f>
        <v/>
      </c>
      <c r="AQ120" s="7" t="n"/>
      <c r="AR120" s="64">
        <f>SUM(Tabela2[[#This Row],[Nota de Prioridade Quantitativa(NOTAS: 1 PIOR NOTA; 5 MELHOR NOTA)]],Tabela2[[#This Row],[Nota de Prioridade Qualitativa(NOTAS: 1 PIOR NOTA;  5 MELHOR NOTA)]])</f>
        <v/>
      </c>
      <c r="AS120" s="7" t="n"/>
      <c r="AZ120" s="20">
        <f t="array" ref="AZ120">StatusCarga(G120,H120,J120,K120)</f>
        <v/>
      </c>
      <c r="BA120" s="20">
        <f>IF(AZ120="CONFORME","CONFORME ✓","NÃO CONFORME ✗")</f>
        <v/>
      </c>
      <c r="BB120" t="n">
        <v>0</v>
      </c>
      <c r="BC120" t="n">
        <v>180</v>
      </c>
      <c r="BD120" t="n">
        <v>0</v>
      </c>
      <c r="BE120" t="n">
        <v>15</v>
      </c>
      <c r="BF120" t="inlineStr">
        <is>
          <t>CONFORME</t>
        </is>
      </c>
    </row>
    <row r="121" hidden="1" ht="21.75" customHeight="1" thickBot="1">
      <c r="A121" s="77" t="inlineStr">
        <is>
          <t>Mariana</t>
        </is>
      </c>
      <c r="B121" s="77" t="inlineStr">
        <is>
          <t>Fazendão</t>
        </is>
      </c>
      <c r="C121" s="80" t="inlineStr">
        <is>
          <t>TE3916</t>
        </is>
      </c>
      <c r="D121" s="80" t="inlineStr">
        <is>
          <t>AFEX</t>
        </is>
      </c>
      <c r="E121" s="78" t="inlineStr">
        <is>
          <t>CATERPILLAR</t>
        </is>
      </c>
      <c r="F121" s="80" t="inlineStr">
        <is>
          <t>CAT D9T</t>
        </is>
      </c>
      <c r="G121" s="81">
        <f>IFERROR(IF(F121=$AB$2,"",VLOOKUP(F121,'DATASHEET EQUIPAMENTOS'!D:N,2,FALSE)),"")</f>
        <v/>
      </c>
      <c r="H121" s="82" t="inlineStr">
        <is>
          <t>1x60lbs</t>
        </is>
      </c>
      <c r="I121" s="57">
        <f>_xlfn.XLOOKUP(Tabela2[[#This Row],[Modelo]],'DATASHEET EQUIPAMENTOS'!D:D,'DATASHEET EQUIPAMENTOS'!P:P,"",0,1)</f>
        <v/>
      </c>
      <c r="J121" s="81">
        <f>IF(F121=$Z$2,"",VLOOKUP(F121,'DATASHEET EQUIPAMENTOS'!D:N,3,FALSE))</f>
        <v/>
      </c>
      <c r="K121" s="85" t="n">
        <v>0</v>
      </c>
      <c r="L121" s="95">
        <f>IF(AZ121="CONFORME","CONFORME ✓","NÃO CONFORME ✗")</f>
        <v/>
      </c>
      <c r="M121" s="102">
        <f>IF(F121=$Z$2,"",VLOOKUP(F121,'DATASHEET EQUIPAMENTOS'!D:N,4,FALSE))</f>
        <v/>
      </c>
      <c r="N121" s="108" t="n">
        <v>3</v>
      </c>
      <c r="O121" s="102">
        <f>IF(F121=$Z$2,"",VLOOKUP(F121,'DATASHEET EQUIPAMENTOS'!D:N,5,FALSE))</f>
        <v/>
      </c>
      <c r="P121" s="103" t="n">
        <v>0</v>
      </c>
      <c r="Q121" s="102">
        <f>IF(F121=$Z$2,"",VLOOKUP(F121,'DATASHEET EQUIPAMENTOS'!D:N,6,FALSE))</f>
        <v/>
      </c>
      <c r="R121" s="104" t="n">
        <v>2</v>
      </c>
      <c r="S121" s="95">
        <f>IF(Tabela2[[#This Row],[Instalado Sensor Motor]]="Linear","CONFORME ✓",IF(SUM(M121,O121,Q121)&lt;SUM(N121,P121,R121),"CONFORME ✓",IF(SUM(M121,O121,Q121)=SUM(N121,P121,R121),"CONFORME ✓","NÃO CONFORME ✗")))</f>
        <v/>
      </c>
      <c r="T121" s="91">
        <f>IF(F121=$Z$2,"",VLOOKUP(F121,'DATASHEET EQUIPAMENTOS'!D:N,7,FALSE))</f>
        <v/>
      </c>
      <c r="U121" s="57" t="n">
        <v>6</v>
      </c>
      <c r="V121" s="56">
        <f>IF(F121=$Z$2,"",VLOOKUP(F121,'DATASHEET EQUIPAMENTOS'!D:N,8,FALSE))</f>
        <v/>
      </c>
      <c r="W121" s="57" t="n"/>
      <c r="X121" s="56">
        <f>IF(F121=$Z$2,"",VLOOKUP(F121,'DATASHEET EQUIPAMENTOS'!D:N,9,FALSE))</f>
        <v/>
      </c>
      <c r="Y121" s="57" t="n">
        <v>6</v>
      </c>
      <c r="Z121" s="57">
        <f>IF(SUM(T121,V121,X121)&lt;=SUM(U121,W121,Y121),"CONFORME ✓",IF(SUM(T121,V121,X121)&gt;SUM(U121,W121,Y121),"NÃO CONFORME ✗"))</f>
        <v/>
      </c>
      <c r="AA121" s="56">
        <f>IF(F121=$Z$2,"",VLOOKUP(F121,'DATASHEET EQUIPAMENTOS'!D:N,10,FALSE))</f>
        <v/>
      </c>
      <c r="AB121" s="57" t="n"/>
      <c r="AC121" s="56">
        <f>IF(F121=$Z$2,"",VLOOKUP(F121,'DATASHEET EQUIPAMENTOS'!D:N,11,FALSE))</f>
        <v/>
      </c>
      <c r="AD121" s="57" t="n"/>
      <c r="AE121" s="56">
        <f>IF(F121=$Z$2,"",VLOOKUP(F121,'DATASHEET EQUIPAMENTOS'!D:O,12,FALSE))</f>
        <v/>
      </c>
      <c r="AF121" s="57" t="n"/>
      <c r="AG121" s="57">
        <f>IF(SUM(AA121,AC121,AE121)&lt;=SUM(AB121,AD121,AF121),"CONFORME ✓",IF(SUM(AA121,AC121,AE121)&gt;SUM(AB121,AD121,AF121),"NÃO CONFORME ✗"))</f>
        <v/>
      </c>
      <c r="AH121" s="72" t="n"/>
      <c r="AI121" s="72" t="n"/>
      <c r="AJ121" s="72" t="n"/>
      <c r="AK121" s="7" t="inlineStr">
        <is>
          <t>EQUIPAMENTO NAO POSSUI CABO LINEAR E AGENTE LÍQUIDO.NECESSARIO REVISAR PASSAGEM DAS MANGUEIRAS E QUANTIDADE DOS SENSORES</t>
        </is>
      </c>
      <c r="AL121" s="58">
        <f>IFERROR(CALCULOS!H116,"NECESSÁRIO REVISAR DATASHEET")</f>
        <v/>
      </c>
      <c r="AM12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1" s="64">
        <f>SUM(Tabela2[[#This Row],[Nota de Prioridade Quantitativa(NOTAS: 1 PIOR NOTA; 5 MELHOR NOTA)]],Tabela2[[#This Row],[Nota de Prioridade Qualitativa(NOTAS: 1 PIOR NOTA;  5 MELHOR NOTA)]])</f>
        <v/>
      </c>
      <c r="AO121" s="7" t="n">
        <v>151322</v>
      </c>
      <c r="AP121" s="64">
        <f>SUM(Tabela2[[#This Row],[Nota de Prioridade Quantitativa(NOTAS: 1 PIOR NOTA; 5 MELHOR NOTA)]],Tabela2[[#This Row],[Nota de Prioridade Qualitativa(NOTAS: 1 PIOR NOTA;  5 MELHOR NOTA)]])</f>
        <v/>
      </c>
      <c r="AQ121" s="7" t="n"/>
      <c r="AR121" s="64">
        <f>SUM(Tabela2[[#This Row],[Nota de Prioridade Quantitativa(NOTAS: 1 PIOR NOTA; 5 MELHOR NOTA)]],Tabela2[[#This Row],[Nota de Prioridade Qualitativa(NOTAS: 1 PIOR NOTA;  5 MELHOR NOTA)]])</f>
        <v/>
      </c>
      <c r="AS121" s="7" t="n"/>
      <c r="AZ121" s="20">
        <f t="array" ref="AZ121">StatusCarga(G121,H121,J121,K121)</f>
        <v/>
      </c>
      <c r="BA121" s="20">
        <f>IF(AZ121="CONFORME","CONFORME ✓","NÃO CONFORME ✗")</f>
        <v/>
      </c>
      <c r="BB121" t="n">
        <v>0</v>
      </c>
      <c r="BC121" t="n">
        <v>60</v>
      </c>
      <c r="BD121" t="n">
        <v>0</v>
      </c>
      <c r="BE121" t="n">
        <v>0</v>
      </c>
      <c r="BF121" t="inlineStr">
        <is>
          <t>CONFORME</t>
        </is>
      </c>
    </row>
    <row r="122" hidden="1" ht="21.75" customHeight="1" thickBot="1">
      <c r="A122" s="77" t="inlineStr">
        <is>
          <t>Mariana</t>
        </is>
      </c>
      <c r="B122" s="77" t="inlineStr">
        <is>
          <t>Fazendão</t>
        </is>
      </c>
      <c r="C122" s="80" t="inlineStr">
        <is>
          <t>TE4420</t>
        </is>
      </c>
      <c r="D122" s="80" t="inlineStr">
        <is>
          <t>AFEX</t>
        </is>
      </c>
      <c r="E122" s="78" t="inlineStr">
        <is>
          <t>KOMATSU</t>
        </is>
      </c>
      <c r="F122" s="80" t="inlineStr">
        <is>
          <t>KOMATSU D375A-6R</t>
        </is>
      </c>
      <c r="G122" s="81">
        <f>IFERROR(IF(F122=$AB$2,"",VLOOKUP(F122,'DATASHEET EQUIPAMENTOS'!D:N,2,FALSE)),"")</f>
        <v/>
      </c>
      <c r="H122" s="82" t="inlineStr">
        <is>
          <t>2x30lbs</t>
        </is>
      </c>
      <c r="I122" s="57">
        <f>_xlfn.XLOOKUP(Tabela2[[#This Row],[Modelo]],'DATASHEET EQUIPAMENTOS'!D:D,'DATASHEET EQUIPAMENTOS'!P:P,"",0,1)</f>
        <v/>
      </c>
      <c r="J122" s="81">
        <f>IF(F122=$Z$2,"",VLOOKUP(F122,'DATASHEET EQUIPAMENTOS'!D:N,3,FALSE))</f>
        <v/>
      </c>
      <c r="K122" s="85" t="n">
        <v>0</v>
      </c>
      <c r="L122" s="95">
        <f>IF(AZ122="CONFORME","CONFORME ✓","NÃO CONFORME ✗")</f>
        <v/>
      </c>
      <c r="M122" s="102">
        <f>IF(F122=$Z$2,"",VLOOKUP(F122,'DATASHEET EQUIPAMENTOS'!D:N,4,FALSE))</f>
        <v/>
      </c>
      <c r="N122" s="108" t="n">
        <v>3</v>
      </c>
      <c r="O122" s="102">
        <f>IF(F122=$Z$2,"",VLOOKUP(F122,'DATASHEET EQUIPAMENTOS'!D:N,5,FALSE))</f>
        <v/>
      </c>
      <c r="P122" s="103" t="n"/>
      <c r="Q122" s="102">
        <f>IF(F122=$Z$2,"",VLOOKUP(F122,'DATASHEET EQUIPAMENTOS'!D:N,6,FALSE))</f>
        <v/>
      </c>
      <c r="R122" s="104" t="n">
        <v>2</v>
      </c>
      <c r="S122" s="95">
        <f>IF(Tabela2[[#This Row],[Instalado Sensor Motor]]="Linear","CONFORME ✓",IF(SUM(M122,O122,Q122)&lt;SUM(N122,P122,R122),"CONFORME ✓",IF(SUM(M122,O122,Q122)=SUM(N122,P122,R122),"CONFORME ✓","NÃO CONFORME ✗")))</f>
        <v/>
      </c>
      <c r="T122" s="91">
        <f>IF(F122=$Z$2,"",VLOOKUP(F122,'DATASHEET EQUIPAMENTOS'!D:N,7,FALSE))</f>
        <v/>
      </c>
      <c r="U122" s="57" t="n">
        <v>6</v>
      </c>
      <c r="V122" s="56">
        <f>IF(F122=$Z$2,"",VLOOKUP(F122,'DATASHEET EQUIPAMENTOS'!D:N,8,FALSE))</f>
        <v/>
      </c>
      <c r="W122" s="57" t="n"/>
      <c r="X122" s="56">
        <f>IF(F122=$Z$2,"",VLOOKUP(F122,'DATASHEET EQUIPAMENTOS'!D:N,9,FALSE))</f>
        <v/>
      </c>
      <c r="Y122" s="57" t="n">
        <v>6</v>
      </c>
      <c r="Z122" s="57">
        <f>IF(SUM(T122,V122,X122)&lt;=SUM(U122,W122,Y122),"CONFORME ✓",IF(SUM(T122,V122,X122)&gt;SUM(U122,W122,Y122),"NÃO CONFORME ✗"))</f>
        <v/>
      </c>
      <c r="AA122" s="56">
        <f>IF(F122=$Z$2,"",VLOOKUP(F122,'DATASHEET EQUIPAMENTOS'!D:N,10,FALSE))</f>
        <v/>
      </c>
      <c r="AB122" s="57" t="n"/>
      <c r="AC122" s="56">
        <f>IF(F122=$Z$2,"",VLOOKUP(F122,'DATASHEET EQUIPAMENTOS'!D:N,11,FALSE))</f>
        <v/>
      </c>
      <c r="AD122" s="57" t="n"/>
      <c r="AE122" s="56">
        <f>IF(F122=$Z$2,"",VLOOKUP(F122,'DATASHEET EQUIPAMENTOS'!D:O,12,FALSE))</f>
        <v/>
      </c>
      <c r="AF122" s="57" t="n"/>
      <c r="AG122" s="57">
        <f>IF(SUM(AA122,AC122,AE122)&lt;=SUM(AB122,AD122,AF122),"CONFORME ✓",IF(SUM(AA122,AC122,AE122)&gt;SUM(AB122,AD122,AF122),"NÃO CONFORME ✗"))</f>
        <v/>
      </c>
      <c r="AH122" s="72" t="n"/>
      <c r="AI122" s="72" t="n"/>
      <c r="AJ122" s="72" t="n"/>
      <c r="AK122" s="7" t="inlineStr">
        <is>
          <t>NECESSÁRIO REVISAR ROTAS DAS MANGUEIRAS 3/4 E POSIÇÃO DOS SENSORES PONTUAIS</t>
        </is>
      </c>
      <c r="AL122" s="58">
        <f>IFERROR(CALCULOS!H117,"NECESSÁRIO REVISAR DATASHEET")</f>
        <v/>
      </c>
      <c r="AM12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2" s="64">
        <f>SUM(Tabela2[[#This Row],[Nota de Prioridade Quantitativa(NOTAS: 1 PIOR NOTA; 5 MELHOR NOTA)]],Tabela2[[#This Row],[Nota de Prioridade Qualitativa(NOTAS: 1 PIOR NOTA;  5 MELHOR NOTA)]])</f>
        <v/>
      </c>
      <c r="AO122" s="7" t="n">
        <v>151321</v>
      </c>
      <c r="AP122" s="64">
        <f>SUM(Tabela2[[#This Row],[Nota de Prioridade Quantitativa(NOTAS: 1 PIOR NOTA; 5 MELHOR NOTA)]],Tabela2[[#This Row],[Nota de Prioridade Qualitativa(NOTAS: 1 PIOR NOTA;  5 MELHOR NOTA)]])</f>
        <v/>
      </c>
      <c r="AQ122" s="7" t="n"/>
      <c r="AR122" s="64">
        <f>SUM(Tabela2[[#This Row],[Nota de Prioridade Quantitativa(NOTAS: 1 PIOR NOTA; 5 MELHOR NOTA)]],Tabela2[[#This Row],[Nota de Prioridade Qualitativa(NOTAS: 1 PIOR NOTA;  5 MELHOR NOTA)]])</f>
        <v/>
      </c>
      <c r="AS122" s="7" t="n"/>
      <c r="AZ122" s="20">
        <f t="array" ref="AZ122">StatusCarga(G122,H122,J122,K122)</f>
        <v/>
      </c>
      <c r="BA122" s="20">
        <f>IF(AZ122="CONFORME","CONFORME ✓","NÃO CONFORME ✗")</f>
        <v/>
      </c>
      <c r="BB122" t="n">
        <v>0</v>
      </c>
      <c r="BC122" t="n">
        <v>60</v>
      </c>
      <c r="BD122" t="n">
        <v>0</v>
      </c>
      <c r="BE122" t="n">
        <v>0</v>
      </c>
      <c r="BF122" t="inlineStr">
        <is>
          <t>CONFORME</t>
        </is>
      </c>
    </row>
    <row r="123" hidden="1" ht="21.75" customHeight="1" thickBot="1">
      <c r="A123" s="77" t="inlineStr">
        <is>
          <t>Paraoupeba</t>
        </is>
      </c>
      <c r="B123" s="77" t="inlineStr">
        <is>
          <t>Mar azul</t>
        </is>
      </c>
      <c r="C123" s="80" t="inlineStr">
        <is>
          <t>PM4362</t>
        </is>
      </c>
      <c r="D123" s="80" t="inlineStr">
        <is>
          <t>AFEX</t>
        </is>
      </c>
      <c r="E123" s="78" t="inlineStr">
        <is>
          <t>CATERPILLAR</t>
        </is>
      </c>
      <c r="F123" s="80" t="inlineStr">
        <is>
          <t>cat 980</t>
        </is>
      </c>
      <c r="G123" s="81">
        <f>IFERROR(IF(F123=$AB$2,"",VLOOKUP(F123,'DATASHEET EQUIPAMENTOS'!D:N,2,FALSE)),"")</f>
        <v/>
      </c>
      <c r="H123" s="82" t="inlineStr">
        <is>
          <t>1x60lbs</t>
        </is>
      </c>
      <c r="I123" s="57">
        <f>_xlfn.XLOOKUP(Tabela2[[#This Row],[Modelo]],'DATASHEET EQUIPAMENTOS'!D:D,'DATASHEET EQUIPAMENTOS'!P:P,"",0,1)</f>
        <v/>
      </c>
      <c r="J123" s="81">
        <f>IF(F123=$Z$2,"",VLOOKUP(F123,'DATASHEET EQUIPAMENTOS'!D:N,3,FALSE))</f>
        <v/>
      </c>
      <c r="K123" s="85" t="n">
        <v>0</v>
      </c>
      <c r="L123" s="95">
        <f>IF(AZ123="CONFORME","CONFORME ✓","NÃO CONFORME ✗")</f>
        <v/>
      </c>
      <c r="M123" s="102">
        <f>IF(F123=$Z$2,"",VLOOKUP(F123,'DATASHEET EQUIPAMENTOS'!D:N,4,FALSE))</f>
        <v/>
      </c>
      <c r="N123" s="108" t="n">
        <v>4</v>
      </c>
      <c r="O123" s="102">
        <f>IF(F123=$Z$2,"",VLOOKUP(F123,'DATASHEET EQUIPAMENTOS'!D:N,5,FALSE))</f>
        <v/>
      </c>
      <c r="P123" s="103" t="n"/>
      <c r="Q123" s="102">
        <f>IF(F123=$Z$2,"",VLOOKUP(F123,'DATASHEET EQUIPAMENTOS'!D:N,6,FALSE))</f>
        <v/>
      </c>
      <c r="R123" s="104" t="n">
        <v>1</v>
      </c>
      <c r="S123" s="95">
        <f>IF(Tabela2[[#This Row],[Instalado Sensor Motor]]="Linear","CONFORME ✓",IF(SUM(M123,O123,Q123)&lt;SUM(N123,P123,R123),"CONFORME ✓",IF(SUM(M123,O123,Q123)=SUM(N123,P123,R123),"CONFORME ✓","NÃO CONFORME ✗")))</f>
        <v/>
      </c>
      <c r="T123" s="91">
        <f>IF(F123=$Z$2,"",VLOOKUP(F123,'DATASHEET EQUIPAMENTOS'!D:N,7,FALSE))</f>
        <v/>
      </c>
      <c r="U123" s="57" t="n">
        <v>6</v>
      </c>
      <c r="V123" s="56">
        <f>IF(F123=$Z$2,"",VLOOKUP(F123,'DATASHEET EQUIPAMENTOS'!D:N,8,FALSE))</f>
        <v/>
      </c>
      <c r="W123" s="57" t="n">
        <v>6</v>
      </c>
      <c r="X123" s="56">
        <f>IF(F123=$Z$2,"",VLOOKUP(F123,'DATASHEET EQUIPAMENTOS'!D:N,9,FALSE))</f>
        <v/>
      </c>
      <c r="Y123" s="57" t="n"/>
      <c r="Z123" s="57">
        <f>IF(SUM(T123,V123,X123)&lt;=SUM(U123,W123,Y123),"CONFORME ✓",IF(SUM(T123,V123,X123)&gt;SUM(U123,W123,Y123),"NÃO CONFORME ✗"))</f>
        <v/>
      </c>
      <c r="AA123" s="56">
        <f>IF(F123=$Z$2,"",VLOOKUP(F123,'DATASHEET EQUIPAMENTOS'!D:N,10,FALSE))</f>
        <v/>
      </c>
      <c r="AB123" s="57" t="n">
        <v>0</v>
      </c>
      <c r="AC123" s="56">
        <f>IF(F123=$Z$2,"",VLOOKUP(F123,'DATASHEET EQUIPAMENTOS'!D:N,11,FALSE))</f>
        <v/>
      </c>
      <c r="AD123" s="57" t="n"/>
      <c r="AE123" s="56">
        <f>IF(F123=$Z$2,"",VLOOKUP(F123,'DATASHEET EQUIPAMENTOS'!D:O,12,FALSE))</f>
        <v/>
      </c>
      <c r="AF123" s="57" t="n"/>
      <c r="AG123" s="57">
        <f>IF(SUM(AA123,AC123,AE123)&lt;=SUM(AB123,AD123,AF123),"CONFORME ✓",IF(SUM(AA123,AC123,AE123)&gt;SUM(AB123,AD123,AF123),"NÃO CONFORME ✗"))</f>
        <v/>
      </c>
      <c r="AH123" s="72" t="n"/>
      <c r="AI123" s="72" t="n"/>
      <c r="AJ123" s="72" t="n"/>
      <c r="AK123" s="7" t="inlineStr">
        <is>
          <t>FOI REALIZADA A INSPEÇÃO CONFORME O LAYOUT</t>
        </is>
      </c>
      <c r="AL123" s="58">
        <f>IFERROR(CALCULOS!H118,"NECESSÁRIO REVISAR DATASHEET")</f>
        <v/>
      </c>
      <c r="AM12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3" s="64">
        <f>SUM(Tabela2[[#This Row],[Nota de Prioridade Quantitativa(NOTAS: 1 PIOR NOTA; 5 MELHOR NOTA)]],Tabela2[[#This Row],[Nota de Prioridade Qualitativa(NOTAS: 1 PIOR NOTA;  5 MELHOR NOTA)]])</f>
        <v/>
      </c>
      <c r="AO123" s="7" t="n">
        <v>150202</v>
      </c>
      <c r="AP123" s="64">
        <f>SUM(Tabela2[[#This Row],[Nota de Prioridade Quantitativa(NOTAS: 1 PIOR NOTA; 5 MELHOR NOTA)]],Tabela2[[#This Row],[Nota de Prioridade Qualitativa(NOTAS: 1 PIOR NOTA;  5 MELHOR NOTA)]])</f>
        <v/>
      </c>
      <c r="AQ123" s="7" t="n"/>
      <c r="AR123" s="64">
        <f>SUM(Tabela2[[#This Row],[Nota de Prioridade Quantitativa(NOTAS: 1 PIOR NOTA; 5 MELHOR NOTA)]],Tabela2[[#This Row],[Nota de Prioridade Qualitativa(NOTAS: 1 PIOR NOTA;  5 MELHOR NOTA)]])</f>
        <v/>
      </c>
      <c r="AS123" s="7" t="n"/>
      <c r="AZ123" s="20">
        <f t="array" ref="AZ123">StatusCarga(G123,H123,J123,K123)</f>
        <v/>
      </c>
      <c r="BA123" s="20">
        <f>IF(AZ123="CONFORME","CONFORME ✓","NÃO CONFORME ✗")</f>
        <v/>
      </c>
      <c r="BB123" t="n">
        <v>0</v>
      </c>
      <c r="BC123" t="n">
        <v>60</v>
      </c>
      <c r="BD123" t="n">
        <v>0</v>
      </c>
      <c r="BE123" t="n">
        <v>0</v>
      </c>
      <c r="BF123" t="inlineStr">
        <is>
          <t>CONFORME</t>
        </is>
      </c>
    </row>
    <row r="124" hidden="1" ht="21.75" customHeight="1" thickBot="1">
      <c r="A124" s="77" t="inlineStr">
        <is>
          <t>VGR</t>
        </is>
      </c>
      <c r="B124" s="77" t="inlineStr">
        <is>
          <t>Aboboras</t>
        </is>
      </c>
      <c r="C124" s="80" t="inlineStr">
        <is>
          <t>CA5489</t>
        </is>
      </c>
      <c r="D124" s="80" t="inlineStr">
        <is>
          <t>AFEX</t>
        </is>
      </c>
      <c r="E124" s="78" t="inlineStr">
        <is>
          <t>CATERPILLAR</t>
        </is>
      </c>
      <c r="F124" s="80" t="inlineStr">
        <is>
          <t>cat 789D</t>
        </is>
      </c>
      <c r="G124" s="81">
        <f>IFERROR(IF(F124=$AB$2,"",VLOOKUP(F124,'DATASHEET EQUIPAMENTOS'!D:N,2,FALSE)),"")</f>
        <v/>
      </c>
      <c r="H124" s="82" t="inlineStr">
        <is>
          <t>4x30lbs</t>
        </is>
      </c>
      <c r="I124" s="57">
        <f>_xlfn.XLOOKUP(Tabela2[[#This Row],[Modelo]],'DATASHEET EQUIPAMENTOS'!D:D,'DATASHEET EQUIPAMENTOS'!P:P,"",0,1)</f>
        <v/>
      </c>
      <c r="J124" s="81">
        <f>IF(F124=$Z$2,"",VLOOKUP(F124,'DATASHEET EQUIPAMENTOS'!D:N,3,FALSE))</f>
        <v/>
      </c>
      <c r="K124" s="85" t="n">
        <v>0</v>
      </c>
      <c r="L124" s="95">
        <f>IF(AZ124="CONFORME","CONFORME ✓","NÃO CONFORME ✗")</f>
        <v/>
      </c>
      <c r="M124" s="102">
        <f>IF(F124=$Z$2,"",VLOOKUP(F124,'DATASHEET EQUIPAMENTOS'!D:N,4,FALSE))</f>
        <v/>
      </c>
      <c r="N124" s="108" t="n">
        <v>6</v>
      </c>
      <c r="O124" s="102">
        <f>IF(F124=$Z$2,"",VLOOKUP(F124,'DATASHEET EQUIPAMENTOS'!D:N,5,FALSE))</f>
        <v/>
      </c>
      <c r="P124" s="103" t="n">
        <v>2</v>
      </c>
      <c r="Q124" s="102">
        <f>IF(F124=$Z$2,"",VLOOKUP(F124,'DATASHEET EQUIPAMENTOS'!D:N,6,FALSE))</f>
        <v/>
      </c>
      <c r="R124" s="104" t="n">
        <v>1</v>
      </c>
      <c r="S124" s="95">
        <f>IF(Tabela2[[#This Row],[Instalado Sensor Motor]]="Linear","CONFORME ✓",IF(SUM(M124,O124,Q124)&lt;SUM(N124,P124,R124),"CONFORME ✓",IF(SUM(M124,O124,Q124)=SUM(N124,P124,R124),"CONFORME ✓","NÃO CONFORME ✗")))</f>
        <v/>
      </c>
      <c r="T124" s="91">
        <f>IF(F124=$Z$2,"",VLOOKUP(F124,'DATASHEET EQUIPAMENTOS'!D:N,7,FALSE))</f>
        <v/>
      </c>
      <c r="U124" s="57" t="n">
        <v>18</v>
      </c>
      <c r="V124" s="56">
        <f>IF(F124=$Z$2,"",VLOOKUP(F124,'DATASHEET EQUIPAMENTOS'!D:N,8,FALSE))</f>
        <v/>
      </c>
      <c r="W124" s="57" t="n">
        <v>3</v>
      </c>
      <c r="X124" s="56">
        <f>IF(F124=$Z$2,"",VLOOKUP(F124,'DATASHEET EQUIPAMENTOS'!D:N,9,FALSE))</f>
        <v/>
      </c>
      <c r="Y124" s="57" t="n">
        <v>3</v>
      </c>
      <c r="Z124" s="57">
        <f>IF(SUM(T124,V124,X124)&lt;=SUM(U124,W124,Y124),"CONFORME ✓",IF(SUM(T124,V124,X124)&gt;SUM(U124,W124,Y124),"NÃO CONFORME ✗"))</f>
        <v/>
      </c>
      <c r="AA124" s="56">
        <f>IF(F124=$Z$2,"",VLOOKUP(F124,'DATASHEET EQUIPAMENTOS'!D:N,10,FALSE))</f>
        <v/>
      </c>
      <c r="AB124" s="57" t="n">
        <v>0</v>
      </c>
      <c r="AC124" s="56">
        <f>IF(F124=$Z$2,"",VLOOKUP(F124,'DATASHEET EQUIPAMENTOS'!D:N,11,FALSE))</f>
        <v/>
      </c>
      <c r="AD124" s="57" t="n">
        <v>0</v>
      </c>
      <c r="AE124" s="56">
        <f>IF(F124=$Z$2,"",VLOOKUP(F124,'DATASHEET EQUIPAMENTOS'!D:O,12,FALSE))</f>
        <v/>
      </c>
      <c r="AF124" s="57" t="n">
        <v>0</v>
      </c>
      <c r="AG124" s="57">
        <f>IF(SUM(AA124,AC124,AE124)&lt;=SUM(AB124,AD124,AF124),"CONFORME ✓",IF(SUM(AA124,AC124,AE124)&gt;SUM(AB124,AD124,AF124),"NÃO CONFORME ✗"))</f>
        <v/>
      </c>
      <c r="AH124" s="72" t="n">
        <v>3.5</v>
      </c>
      <c r="AI124" s="72" t="n">
        <v>4</v>
      </c>
      <c r="AJ124" s="72" t="n">
        <v>4</v>
      </c>
      <c r="AK124" s="7" t="inlineStr">
        <is>
          <t>REPOSICIONAR PAINEL MONITOR E ACIONADOR INTERNO; REPOSICIONAR CABOS DO SENSORES</t>
        </is>
      </c>
      <c r="AL124" s="58">
        <f>IFERROR(CALCULOS!H119,"NECESSÁRIO REVISAR DATASHEET")</f>
        <v/>
      </c>
      <c r="AM12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4" s="64">
        <f>SUM(Tabela2[[#This Row],[Nota de Prioridade Quantitativa(NOTAS: 1 PIOR NOTA; 5 MELHOR NOTA)]],Tabela2[[#This Row],[Nota de Prioridade Qualitativa(NOTAS: 1 PIOR NOTA;  5 MELHOR NOTA)]])</f>
        <v/>
      </c>
      <c r="AO124" s="7" t="n">
        <v>149405</v>
      </c>
      <c r="AP124" s="64">
        <f>SUM(Tabela2[[#This Row],[Nota de Prioridade Quantitativa(NOTAS: 1 PIOR NOTA; 5 MELHOR NOTA)]],Tabela2[[#This Row],[Nota de Prioridade Qualitativa(NOTAS: 1 PIOR NOTA;  5 MELHOR NOTA)]])</f>
        <v/>
      </c>
      <c r="AQ124" s="7" t="n"/>
      <c r="AR124" s="64">
        <f>SUM(Tabela2[[#This Row],[Nota de Prioridade Quantitativa(NOTAS: 1 PIOR NOTA; 5 MELHOR NOTA)]],Tabela2[[#This Row],[Nota de Prioridade Qualitativa(NOTAS: 1 PIOR NOTA;  5 MELHOR NOTA)]])</f>
        <v/>
      </c>
      <c r="AS124" s="7" t="n"/>
      <c r="AZ124" s="20">
        <f t="array" ref="AZ124">StatusCarga(G124,H124,J124,K124)</f>
        <v/>
      </c>
      <c r="BA124" s="20">
        <f>IF(AZ124="CONFORME","CONFORME ✓","NÃO CONFORME ✗")</f>
        <v/>
      </c>
      <c r="BB124" t="n">
        <v>0</v>
      </c>
      <c r="BC124" t="n">
        <v>120</v>
      </c>
      <c r="BD124" t="n">
        <v>0</v>
      </c>
      <c r="BE124" t="n">
        <v>0</v>
      </c>
      <c r="BF124" t="inlineStr">
        <is>
          <t>CONFORME</t>
        </is>
      </c>
    </row>
    <row r="125" hidden="1" ht="21.75" customHeight="1" thickBot="1">
      <c r="A125" s="77" t="inlineStr">
        <is>
          <t>Mariana</t>
        </is>
      </c>
      <c r="B125" s="77" t="inlineStr">
        <is>
          <t>Fazendão</t>
        </is>
      </c>
      <c r="C125" s="80" t="inlineStr">
        <is>
          <t>PM6227</t>
        </is>
      </c>
      <c r="D125" s="80" t="inlineStr">
        <is>
          <t>AFEX</t>
        </is>
      </c>
      <c r="E125" s="78" t="inlineStr">
        <is>
          <t>CATERPILLAR</t>
        </is>
      </c>
      <c r="F125" s="80" t="inlineStr">
        <is>
          <t>CAT 988H</t>
        </is>
      </c>
      <c r="G125" s="81">
        <f>IFERROR(IF(F125=$AB$2,"",VLOOKUP(F125,'DATASHEET EQUIPAMENTOS'!D:N,2,FALSE)),"")</f>
        <v/>
      </c>
      <c r="H125" s="82" t="inlineStr">
        <is>
          <t>1x60lbs</t>
        </is>
      </c>
      <c r="I125" s="57">
        <f>_xlfn.XLOOKUP(Tabela2[[#This Row],[Modelo]],'DATASHEET EQUIPAMENTOS'!D:D,'DATASHEET EQUIPAMENTOS'!P:P,"",0,1)</f>
        <v/>
      </c>
      <c r="J125" s="81">
        <f>IF(F125=$Z$2,"",VLOOKUP(F125,'DATASHEET EQUIPAMENTOS'!D:N,3,FALSE))</f>
        <v/>
      </c>
      <c r="K125" s="85" t="n">
        <v>0</v>
      </c>
      <c r="L125" s="95">
        <f>IF(AZ125="CONFORME","CONFORME ✓","NÃO CONFORME ✗")</f>
        <v/>
      </c>
      <c r="M125" s="119">
        <f>IF(F125=$Z$2,"",VLOOKUP(F125,'DATASHEET EQUIPAMENTOS'!D:N,4,FALSE))</f>
        <v/>
      </c>
      <c r="N125" s="101" t="n">
        <v>3</v>
      </c>
      <c r="O125" s="97">
        <f>IF(F125=$Z$2,"",VLOOKUP(F125,'DATASHEET EQUIPAMENTOS'!D:N,5,FALSE))</f>
        <v/>
      </c>
      <c r="P125" s="98" t="n">
        <v>2</v>
      </c>
      <c r="Q125" s="97">
        <f>IF(F125=$Z$2,"",VLOOKUP(F125,'DATASHEET EQUIPAMENTOS'!D:N,6,FALSE))</f>
        <v/>
      </c>
      <c r="R125" s="99" t="n">
        <v>0</v>
      </c>
      <c r="S125" s="100">
        <f>IF(Tabela2[[#This Row],[Instalado Sensor Motor]]="Linear","CONFORME ✓",IF(SUM(M125,O125,Q125)&lt;SUM(N125,P125,R125),"CONFORME ✓",IF(SUM(M125,O125,Q125)=SUM(N125,P125,R125),"CONFORME ✓","NÃO CONFORME ✗")))</f>
        <v/>
      </c>
      <c r="T125" s="91">
        <f>IF(F125=$Z$2,"",VLOOKUP(F125,'DATASHEET EQUIPAMENTOS'!D:N,7,FALSE))</f>
        <v/>
      </c>
      <c r="U125" s="57" t="n">
        <v>6</v>
      </c>
      <c r="V125" s="56">
        <f>IF(F125=$Z$2,"",VLOOKUP(F125,'DATASHEET EQUIPAMENTOS'!D:N,8,FALSE))</f>
        <v/>
      </c>
      <c r="W125" s="57" t="n">
        <v>6</v>
      </c>
      <c r="X125" s="56">
        <f>IF(F125=$Z$2,"",VLOOKUP(F125,'DATASHEET EQUIPAMENTOS'!D:N,9,FALSE))</f>
        <v/>
      </c>
      <c r="Y125" s="57" t="n"/>
      <c r="Z125" s="57">
        <f>IF(SUM(T125,V125,X125)&lt;=SUM(U125,W125,Y125),"CONFORME ✓",IF(SUM(T125,V125,X125)&gt;SUM(U125,W125,Y125),"NÃO CONFORME ✗"))</f>
        <v/>
      </c>
      <c r="AA125" s="56">
        <f>IF(F125=$Z$2,"",VLOOKUP(F125,'DATASHEET EQUIPAMENTOS'!D:N,10,FALSE))</f>
        <v/>
      </c>
      <c r="AB125" s="57" t="n"/>
      <c r="AC125" s="56">
        <f>IF(F125=$Z$2,"",VLOOKUP(F125,'DATASHEET EQUIPAMENTOS'!D:N,11,FALSE))</f>
        <v/>
      </c>
      <c r="AD125" s="57" t="n"/>
      <c r="AE125" s="56">
        <f>IF(F125=$Z$2,"",VLOOKUP(F125,'DATASHEET EQUIPAMENTOS'!D:O,12,FALSE))</f>
        <v/>
      </c>
      <c r="AF125" s="57" t="n"/>
      <c r="AG125" s="57">
        <f>IF(SUM(AA125,AC125,AE125)&lt;=SUM(AB125,AD125,AF125),"CONFORME ✓",IF(SUM(AA125,AC125,AE125)&gt;SUM(AB125,AD125,AF125),"NÃO CONFORME ✗"))</f>
        <v/>
      </c>
      <c r="AH125" s="72" t="n">
        <v>2</v>
      </c>
      <c r="AI125" s="72" t="n">
        <v>2</v>
      </c>
      <c r="AJ125" s="72" t="n">
        <v>5</v>
      </c>
      <c r="AK125" s="7" t="inlineStr">
        <is>
          <t>FAZER ADEQUAÇÃO DOS BICOS DIFUSORES PQS E SENSORES NA PARTE HIDRAULICA/BOMBAS ; DEFINIR LOCAL DE FIXAÇÃO DO PAÍNEL E ALTERAR SE NECESSÁRIO</t>
        </is>
      </c>
      <c r="AL125" s="58">
        <f>IFERROR(CALCULOS!H120,"NECESSÁRIO REVISAR DATASHEET")</f>
        <v/>
      </c>
      <c r="AM12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5" s="64">
        <f>SUM(Tabela2[[#This Row],[Nota de Prioridade Quantitativa(NOTAS: 1 PIOR NOTA; 5 MELHOR NOTA)]],Tabela2[[#This Row],[Nota de Prioridade Qualitativa(NOTAS: 1 PIOR NOTA;  5 MELHOR NOTA)]])</f>
        <v/>
      </c>
      <c r="AO125" s="7" t="n">
        <v>152494</v>
      </c>
      <c r="AP125" s="64">
        <f>SUM(Tabela2[[#This Row],[Nota de Prioridade Quantitativa(NOTAS: 1 PIOR NOTA; 5 MELHOR NOTA)]],Tabela2[[#This Row],[Nota de Prioridade Qualitativa(NOTAS: 1 PIOR NOTA;  5 MELHOR NOTA)]])</f>
        <v/>
      </c>
      <c r="AQ125" s="7" t="n"/>
      <c r="AR125" s="64">
        <f>SUM(Tabela2[[#This Row],[Nota de Prioridade Quantitativa(NOTAS: 1 PIOR NOTA; 5 MELHOR NOTA)]],Tabela2[[#This Row],[Nota de Prioridade Qualitativa(NOTAS: 1 PIOR NOTA;  5 MELHOR NOTA)]])</f>
        <v/>
      </c>
      <c r="AS125" s="7" t="n"/>
      <c r="AZ125" s="20">
        <f t="array" ref="AZ125">StatusCarga(G125,H125,J125,K125)</f>
        <v/>
      </c>
      <c r="BA125" s="20">
        <f>IF(AZ125="CONFORME","CONFORME ✓","NÃO CONFORME ✗")</f>
        <v/>
      </c>
      <c r="BB125" t="n">
        <v>0</v>
      </c>
      <c r="BC125" t="n">
        <v>60</v>
      </c>
      <c r="BD125" t="n">
        <v>0</v>
      </c>
      <c r="BE125" t="n">
        <v>0</v>
      </c>
      <c r="BF125" t="inlineStr">
        <is>
          <t>CONFORME</t>
        </is>
      </c>
    </row>
    <row r="126" hidden="1" ht="21.75" customHeight="1" thickBot="1">
      <c r="A126" s="77" t="inlineStr">
        <is>
          <t>Mariana</t>
        </is>
      </c>
      <c r="B126" s="77" t="inlineStr">
        <is>
          <t>Fazendão</t>
        </is>
      </c>
      <c r="C126" s="80" t="inlineStr">
        <is>
          <t>PM3810</t>
        </is>
      </c>
      <c r="D126" s="80" t="inlineStr">
        <is>
          <t>AFEX</t>
        </is>
      </c>
      <c r="E126" s="78" t="inlineStr">
        <is>
          <t>CATERPILLAR</t>
        </is>
      </c>
      <c r="F126" s="80" t="inlineStr">
        <is>
          <t>CAT 993k</t>
        </is>
      </c>
      <c r="G126" s="81">
        <f>IFERROR(IF(F126=$AB$2,"",VLOOKUP(F126,'DATASHEET EQUIPAMENTOS'!D:N,2,FALSE)),"")</f>
        <v/>
      </c>
      <c r="H126" s="82" t="inlineStr">
        <is>
          <t>2x60lbs</t>
        </is>
      </c>
      <c r="I126" s="57">
        <f>_xlfn.XLOOKUP(Tabela2[[#This Row],[Modelo]],'DATASHEET EQUIPAMENTOS'!D:D,'DATASHEET EQUIPAMENTOS'!P:P,"",0,1)</f>
        <v/>
      </c>
      <c r="J126" s="81">
        <f>IF(F126=$Z$2,"",VLOOKUP(F126,'DATASHEET EQUIPAMENTOS'!D:N,3,FALSE))</f>
        <v/>
      </c>
      <c r="K126" s="85" t="inlineStr">
        <is>
          <t>1x5gal</t>
        </is>
      </c>
      <c r="L126" s="95">
        <f>IF(AZ126="CONFORME","CONFORME ✓","NÃO CONFORME ✗")</f>
        <v/>
      </c>
      <c r="M126" s="102">
        <f>IF(F126=$Z$2,"",VLOOKUP(F126,'DATASHEET EQUIPAMENTOS'!D:N,4,FALSE))</f>
        <v/>
      </c>
      <c r="N126" s="108" t="n">
        <v>4</v>
      </c>
      <c r="O126" s="102">
        <f>IF(F126=$Z$2,"",VLOOKUP(F126,'DATASHEET EQUIPAMENTOS'!D:N,5,FALSE))</f>
        <v/>
      </c>
      <c r="P126" s="103" t="n">
        <v>2</v>
      </c>
      <c r="Q126" s="102">
        <f>IF(F126=$Z$2,"",VLOOKUP(F126,'DATASHEET EQUIPAMENTOS'!D:N,6,FALSE))</f>
        <v/>
      </c>
      <c r="R126" s="104" t="n">
        <v>2</v>
      </c>
      <c r="S126" s="95">
        <f>IF(Tabela2[[#This Row],[Instalado Sensor Motor]]="Linear","CONFORME ✓",IF(SUM(M126,O126,Q126)&lt;SUM(N126,P126,R126),"CONFORME ✓",IF(SUM(M126,O126,Q126)=SUM(N126,P126,R126),"CONFORME ✓","NÃO CONFORME ✗")))</f>
        <v/>
      </c>
      <c r="T126" s="91">
        <f>IF(F126=$Z$2,"",VLOOKUP(F126,'DATASHEET EQUIPAMENTOS'!D:N,7,FALSE))</f>
        <v/>
      </c>
      <c r="U126" s="62" t="n">
        <v>12</v>
      </c>
      <c r="V126" s="56">
        <f>IF(F126=$Z$2,"",VLOOKUP(F126,'DATASHEET EQUIPAMENTOS'!D:N,8,FALSE))</f>
        <v/>
      </c>
      <c r="W126" s="57" t="n">
        <v>6</v>
      </c>
      <c r="X126" s="56">
        <f>IF(F126=$Z$2,"",VLOOKUP(F126,'DATASHEET EQUIPAMENTOS'!D:N,9,FALSE))</f>
        <v/>
      </c>
      <c r="Y126" s="57" t="n">
        <v>6</v>
      </c>
      <c r="Z126" s="57">
        <f>IF(SUM(T126,V126,X126)&lt;=SUM(U126,W126,Y126),"CONFORME ✓",IF(SUM(T126,V126,X126)&gt;SUM(U126,W126,Y126),"NÃO CONFORME ✗"))</f>
        <v/>
      </c>
      <c r="AA126" s="56">
        <f>IF(F126=$Z$2,"",VLOOKUP(F126,'DATASHEET EQUIPAMENTOS'!D:N,10,FALSE))</f>
        <v/>
      </c>
      <c r="AB126" s="62" t="n">
        <v>4</v>
      </c>
      <c r="AC126" s="56">
        <f>IF(F126=$Z$2,"",VLOOKUP(F126,'DATASHEET EQUIPAMENTOS'!D:N,11,FALSE))</f>
        <v/>
      </c>
      <c r="AD126" s="62" t="n">
        <v>0</v>
      </c>
      <c r="AE126" s="56">
        <f>IF(F126=$Z$2,"",VLOOKUP(F126,'DATASHEET EQUIPAMENTOS'!D:O,12,FALSE))</f>
        <v/>
      </c>
      <c r="AF126" s="62" t="n">
        <v>0</v>
      </c>
      <c r="AG126" s="57">
        <f>IF(SUM(AA126,AC126,AE126)&lt;=SUM(AB126,AD126,AF126),"CONFORME ✓",IF(SUM(AA126,AC126,AE126)&gt;SUM(AB126,AD126,AF126),"NÃO CONFORME ✗"))</f>
        <v/>
      </c>
      <c r="AH126" s="72" t="n">
        <v>2.5</v>
      </c>
      <c r="AI126" s="72" t="n">
        <v>2.5</v>
      </c>
      <c r="AJ126" s="72" t="n">
        <v>3.5</v>
      </c>
      <c r="AK126" s="7" t="inlineStr">
        <is>
          <t>NENHUMA ANORMALIDADE ENVONTRADA</t>
        </is>
      </c>
      <c r="AL126" s="58">
        <f>IFERROR(CALCULOS!H121,"NECESSÁRIO REVISAR DATASHEET")</f>
        <v/>
      </c>
      <c r="AM12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6" s="64">
        <f>SUM(Tabela2[[#This Row],[Nota de Prioridade Quantitativa(NOTAS: 1 PIOR NOTA; 5 MELHOR NOTA)]],Tabela2[[#This Row],[Nota de Prioridade Qualitativa(NOTAS: 1 PIOR NOTA;  5 MELHOR NOTA)]])</f>
        <v/>
      </c>
      <c r="AO126" s="7" t="n">
        <v>151244</v>
      </c>
      <c r="AP126" s="64">
        <f>SUM(Tabela2[[#This Row],[Nota de Prioridade Quantitativa(NOTAS: 1 PIOR NOTA; 5 MELHOR NOTA)]],Tabela2[[#This Row],[Nota de Prioridade Qualitativa(NOTAS: 1 PIOR NOTA;  5 MELHOR NOTA)]])</f>
        <v/>
      </c>
      <c r="AQ126" s="7" t="n"/>
      <c r="AR126" s="64">
        <f>SUM(Tabela2[[#This Row],[Nota de Prioridade Quantitativa(NOTAS: 1 PIOR NOTA; 5 MELHOR NOTA)]],Tabela2[[#This Row],[Nota de Prioridade Qualitativa(NOTAS: 1 PIOR NOTA;  5 MELHOR NOTA)]])</f>
        <v/>
      </c>
      <c r="AS126" s="7" t="n"/>
      <c r="AZ126" s="20">
        <f t="array" ref="AZ126">StatusCarga(G126,H126,J126,K126)</f>
        <v/>
      </c>
      <c r="BA126" s="20">
        <f>IF(AZ126="CONFORME","CONFORME ✓","NÃO CONFORME ✗")</f>
        <v/>
      </c>
      <c r="BB126" t="n">
        <v>0</v>
      </c>
      <c r="BC126" t="n">
        <v>120</v>
      </c>
      <c r="BD126" t="n">
        <v>0</v>
      </c>
      <c r="BE126" t="n">
        <v>5</v>
      </c>
      <c r="BF126" t="inlineStr">
        <is>
          <t>CONFORME</t>
        </is>
      </c>
    </row>
    <row r="127" hidden="1" ht="21.75" customHeight="1" thickBot="1">
      <c r="A127" s="77" t="inlineStr">
        <is>
          <t>Mariana</t>
        </is>
      </c>
      <c r="B127" s="77" t="inlineStr">
        <is>
          <t>Fabrica Nova</t>
        </is>
      </c>
      <c r="C127" s="80" t="inlineStr">
        <is>
          <t>CA5462</t>
        </is>
      </c>
      <c r="D127" s="80" t="inlineStr">
        <is>
          <t>KIDDE</t>
        </is>
      </c>
      <c r="E127" s="78" t="inlineStr">
        <is>
          <t>CATERPILLAR</t>
        </is>
      </c>
      <c r="F127" s="80" t="inlineStr">
        <is>
          <t>cat 785C</t>
        </is>
      </c>
      <c r="G127" s="81">
        <f>IFERROR(IF(F127=$AB$2,"",VLOOKUP(F127,'DATASHEET EQUIPAMENTOS'!D:N,2,FALSE)),"")</f>
        <v/>
      </c>
      <c r="H127" s="82" t="inlineStr">
        <is>
          <t>2x50lbs</t>
        </is>
      </c>
      <c r="I127" s="57">
        <f>_xlfn.XLOOKUP(Tabela2[[#This Row],[Modelo]],'DATASHEET EQUIPAMENTOS'!D:D,'DATASHEET EQUIPAMENTOS'!P:P,"",0,1)</f>
        <v/>
      </c>
      <c r="J127" s="81">
        <f>IF(F127=$Z$2,"",VLOOKUP(F127,'DATASHEET EQUIPAMENTOS'!D:N,3,FALSE))</f>
        <v/>
      </c>
      <c r="K127" s="85" t="inlineStr">
        <is>
          <t>1x15gal</t>
        </is>
      </c>
      <c r="L127" s="95">
        <f>IF(AZ127="CONFORME","CONFORME ✓","NÃO CONFORME ✗")</f>
        <v/>
      </c>
      <c r="M127" s="102">
        <f>IF(F127=$Z$2,"",VLOOKUP(F127,'DATASHEET EQUIPAMENTOS'!D:N,4,FALSE))</f>
        <v/>
      </c>
      <c r="N127" s="108" t="inlineStr">
        <is>
          <t>Linear</t>
        </is>
      </c>
      <c r="O127" s="102">
        <f>IF(F127=$Z$2,"",VLOOKUP(F127,'DATASHEET EQUIPAMENTOS'!D:N,5,FALSE))</f>
        <v/>
      </c>
      <c r="P127" s="103" t="n"/>
      <c r="Q127" s="102">
        <f>IF(F127=$Z$2,"",VLOOKUP(F127,'DATASHEET EQUIPAMENTOS'!D:N,6,FALSE))</f>
        <v/>
      </c>
      <c r="R127" s="104" t="n"/>
      <c r="S127" s="95">
        <f>IF(Tabela2[[#This Row],[Instalado Sensor Motor]]="Linear","CONFORME ✓",IF(SUM(M127,O127,Q127)&lt;SUM(N127,P127,R127),"CONFORME ✓",IF(SUM(M127,O127,Q127)=SUM(N127,P127,R127),"CONFORME ✓","NÃO CONFORME ✗")))</f>
        <v/>
      </c>
      <c r="T127" s="91">
        <f>IF(F127=$Z$2,"",VLOOKUP(F127,'DATASHEET EQUIPAMENTOS'!D:N,7,FALSE))</f>
        <v/>
      </c>
      <c r="U127" s="57" t="n">
        <v>6</v>
      </c>
      <c r="V127" s="56">
        <f>IF(F127=$Z$2,"",VLOOKUP(F127,'DATASHEET EQUIPAMENTOS'!D:N,8,FALSE))</f>
        <v/>
      </c>
      <c r="W127" s="57" t="n">
        <v>2</v>
      </c>
      <c r="X127" s="56">
        <f>IF(F127=$Z$2,"",VLOOKUP(F127,'DATASHEET EQUIPAMENTOS'!D:N,9,FALSE))</f>
        <v/>
      </c>
      <c r="Y127" s="57" t="n">
        <v>4</v>
      </c>
      <c r="Z127" s="57">
        <f>IF(SUM(T127,V127,X127)&lt;=SUM(U127,W127,Y127),"CONFORME ✓",IF(SUM(T127,V127,X127)&gt;SUM(U127,W127,Y127),"NÃO CONFORME ✗"))</f>
        <v/>
      </c>
      <c r="AA127" s="56">
        <f>IF(F127=$Z$2,"",VLOOKUP(F127,'DATASHEET EQUIPAMENTOS'!D:N,10,FALSE))</f>
        <v/>
      </c>
      <c r="AB127" s="62" t="n">
        <v>8</v>
      </c>
      <c r="AC127" s="56">
        <f>IF(F127=$Z$2,"",VLOOKUP(F127,'DATASHEET EQUIPAMENTOS'!D:N,11,FALSE))</f>
        <v/>
      </c>
      <c r="AD127" s="57" t="n"/>
      <c r="AE127" s="56">
        <f>IF(F127=$Z$2,"",VLOOKUP(F127,'DATASHEET EQUIPAMENTOS'!D:O,12,FALSE))</f>
        <v/>
      </c>
      <c r="AF127" s="57" t="n"/>
      <c r="AG127" s="57">
        <f>IF(SUM(AA127,AC127,AE127)&lt;=SUM(AB127,AD127,AF127),"CONFORME ✓",IF(SUM(AA127,AC127,AE127)&gt;SUM(AB127,AD127,AF127),"NÃO CONFORME ✗"))</f>
        <v/>
      </c>
      <c r="AH127" s="72" t="n">
        <v>3.5</v>
      </c>
      <c r="AI127" s="72" t="n">
        <v>4.5</v>
      </c>
      <c r="AJ127" s="72" t="n">
        <v>2</v>
      </c>
      <c r="AK127" s="7" t="inlineStr">
        <is>
          <t>REALIZAR AVALIAÇÃO DO POSICIONAMENTO DO ATUADOR E PAINEL DE MONITORAMENTO SE NECESSÁRIO REALIZAR ALTERAÇÃO; MELHORAR FIXAÇÃO DOS CABOS LINEAR; VOLTAR NO EQUIPAMENTO PARA RECONTAGEM DE BICOS PQS</t>
        </is>
      </c>
      <c r="AL127" s="58">
        <f>IFERROR(CALCULOS!H122,"NECESSÁRIO REVISAR DATASHEET")</f>
        <v/>
      </c>
      <c r="AM12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7" s="64">
        <f>SUM(Tabela2[[#This Row],[Nota de Prioridade Quantitativa(NOTAS: 1 PIOR NOTA; 5 MELHOR NOTA)]],Tabela2[[#This Row],[Nota de Prioridade Qualitativa(NOTAS: 1 PIOR NOTA;  5 MELHOR NOTA)]])</f>
        <v/>
      </c>
      <c r="AO127" s="7" t="n">
        <v>151205</v>
      </c>
      <c r="AP127" s="64">
        <f>SUM(Tabela2[[#This Row],[Nota de Prioridade Quantitativa(NOTAS: 1 PIOR NOTA; 5 MELHOR NOTA)]],Tabela2[[#This Row],[Nota de Prioridade Qualitativa(NOTAS: 1 PIOR NOTA;  5 MELHOR NOTA)]])</f>
        <v/>
      </c>
      <c r="AQ127" s="7" t="n"/>
      <c r="AR127" s="64">
        <f>SUM(Tabela2[[#This Row],[Nota de Prioridade Quantitativa(NOTAS: 1 PIOR NOTA; 5 MELHOR NOTA)]],Tabela2[[#This Row],[Nota de Prioridade Qualitativa(NOTAS: 1 PIOR NOTA;  5 MELHOR NOTA)]])</f>
        <v/>
      </c>
      <c r="AS127" s="7" t="n"/>
      <c r="AZ127" s="20">
        <f t="array" ref="AZ127">StatusCarga(G127,H127,J127,K127)</f>
        <v/>
      </c>
      <c r="BA127" s="20">
        <f>IF(AZ127="CONFORME","CONFORME ✓","NÃO CONFORME ✗")</f>
        <v/>
      </c>
      <c r="BB127" t="n">
        <v>0</v>
      </c>
      <c r="BC127" t="n">
        <v>100</v>
      </c>
      <c r="BD127" t="n">
        <v>0</v>
      </c>
      <c r="BE127" t="n">
        <v>15</v>
      </c>
      <c r="BF127" t="inlineStr">
        <is>
          <t>CONFORME</t>
        </is>
      </c>
    </row>
    <row r="128" ht="21.75" customHeight="1" thickBot="1">
      <c r="A128" s="151" t="inlineStr">
        <is>
          <t>itabira</t>
        </is>
      </c>
      <c r="B128" s="77" t="inlineStr">
        <is>
          <t>CONCEIÇÃO</t>
        </is>
      </c>
      <c r="C128" s="78" t="inlineStr">
        <is>
          <t>RC1703</t>
        </is>
      </c>
      <c r="D128" s="77" t="inlineStr">
        <is>
          <t>AFEX</t>
        </is>
      </c>
      <c r="E128" s="78" t="inlineStr">
        <is>
          <t>SANY</t>
        </is>
      </c>
      <c r="F128" s="78" t="inlineStr">
        <is>
          <t>SANSSR200C-8H</t>
        </is>
      </c>
      <c r="G128" s="81">
        <f>IFERROR(IF(F128=$AB$2,"",VLOOKUP(F128,'DATASHEET EQUIPAMENTOS'!D:N,2,FALSE)),"")</f>
        <v/>
      </c>
      <c r="H128" s="82" t="inlineStr">
        <is>
          <t>1x30lbs</t>
        </is>
      </c>
      <c r="I128" s="57">
        <f>_xlfn.XLOOKUP(Tabela2[[#This Row],[Modelo]],'DATASHEET EQUIPAMENTOS'!D:D,'DATASHEET EQUIPAMENTOS'!P:P,"",0,1)</f>
        <v/>
      </c>
      <c r="J128" s="81">
        <f>IF(F128=$Z$2,"",VLOOKUP(F128,'DATASHEET EQUIPAMENTOS'!D:N,3,FALSE))</f>
        <v/>
      </c>
      <c r="K128" s="84" t="n">
        <v>0</v>
      </c>
      <c r="L128" s="95">
        <f>IF(AZ128="CONFORME","CONFORME ✓","NÃO CONFORME ✗")</f>
        <v/>
      </c>
      <c r="M128" s="102">
        <f>IF(F128=$Z$2,"",VLOOKUP(F128,'DATASHEET EQUIPAMENTOS'!D:N,4,FALSE))</f>
        <v/>
      </c>
      <c r="N128" s="108" t="n">
        <v>4</v>
      </c>
      <c r="O128" s="102">
        <f>IF(F128=$Z$2,"",VLOOKUP(F128,'DATASHEET EQUIPAMENTOS'!D:N,5,FALSE))</f>
        <v/>
      </c>
      <c r="P128" s="103" t="n">
        <v>0</v>
      </c>
      <c r="Q128" s="102">
        <f>IF(F128=$Z$2,"",VLOOKUP(F128,'DATASHEET EQUIPAMENTOS'!D:N,6,FALSE))</f>
        <v/>
      </c>
      <c r="R128" s="104" t="n">
        <v>0</v>
      </c>
      <c r="S128" s="95">
        <f>IF(Tabela2[[#This Row],[Instalado Sensor Motor]]="Linear","CONFORME ✓",IF(SUM(M128,O128,Q128)&lt;SUM(N128,P128,R128),"CONFORME ✓",IF(SUM(M128,O128,Q128)=SUM(N128,P128,R128),"CONFORME ✓","NÃO CONFORME ✗")))</f>
        <v/>
      </c>
      <c r="T128" s="91">
        <f>IF(F128=$Z$2,"",VLOOKUP(F128,'DATASHEET EQUIPAMENTOS'!D:N,7,FALSE))</f>
        <v/>
      </c>
      <c r="U128" s="57" t="n">
        <v>6</v>
      </c>
      <c r="V128" s="56">
        <f>IF(F128=$Z$2,"",VLOOKUP(F128,'DATASHEET EQUIPAMENTOS'!D:N,8,FALSE))</f>
        <v/>
      </c>
      <c r="W128" s="57" t="n">
        <v>0</v>
      </c>
      <c r="X128" s="56">
        <f>IF(F128=$Z$2,"",VLOOKUP(F128,'DATASHEET EQUIPAMENTOS'!D:N,9,FALSE))</f>
        <v/>
      </c>
      <c r="Y128" s="57" t="n">
        <v>0</v>
      </c>
      <c r="Z128" s="57">
        <f>IF(SUM(T128,V128,X128)&lt;=SUM(U128,W128,Y128),"CONFORME ✓",IF(SUM(T128,V128,X128)&gt;SUM(U128,W128,Y128),"NÃO CONFORME ✗"))</f>
        <v/>
      </c>
      <c r="AA128" s="56">
        <f>IF(F128=$Z$2,"",VLOOKUP(F128,'DATASHEET EQUIPAMENTOS'!D:N,10,FALSE))</f>
        <v/>
      </c>
      <c r="AB128" s="57" t="n">
        <v>0</v>
      </c>
      <c r="AC128" s="56">
        <f>IF(F128=$Z$2,"",VLOOKUP(F128,'DATASHEET EQUIPAMENTOS'!D:N,11,FALSE))</f>
        <v/>
      </c>
      <c r="AD128" s="57" t="n">
        <v>0</v>
      </c>
      <c r="AE128" s="56">
        <f>IF(F128=$Z$2,"",VLOOKUP(F128,'DATASHEET EQUIPAMENTOS'!D:O,12,FALSE))</f>
        <v/>
      </c>
      <c r="AF128" s="57" t="n">
        <v>0</v>
      </c>
      <c r="AG128" s="57">
        <f>IF(SUM(AA128,AC128,AE128)&lt;=SUM(AB128,AD128,AF128),"CONFORME ✓",IF(SUM(AA128,AC128,AE128)&gt;SUM(AB128,AD128,AF128),"NÃO CONFORME ✗"))</f>
        <v/>
      </c>
      <c r="AH128" s="72" t="n">
        <v>5</v>
      </c>
      <c r="AI128" s="72" t="n">
        <v>4.5</v>
      </c>
      <c r="AJ128" s="72" t="n">
        <v>5</v>
      </c>
      <c r="AK128" s="57" t="n"/>
      <c r="AL128" s="58">
        <f>IFERROR(CALCULOS!H123,"NECESSÁRIO REVISAR DATASHEET")</f>
        <v/>
      </c>
      <c r="AM12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8" s="64">
        <f>SUM(Tabela2[[#This Row],[Nota de Prioridade Quantitativa(NOTAS: 1 PIOR NOTA; 5 MELHOR NOTA)]],Tabela2[[#This Row],[Nota de Prioridade Qualitativa(NOTAS: 1 PIOR NOTA;  5 MELHOR NOTA)]])</f>
        <v/>
      </c>
      <c r="AO128" s="57" t="n">
        <v>149229</v>
      </c>
      <c r="AP128" s="64">
        <f>SUM(Tabela2[[#This Row],[Nota de Prioridade Quantitativa(NOTAS: 1 PIOR NOTA; 5 MELHOR NOTA)]],Tabela2[[#This Row],[Nota de Prioridade Qualitativa(NOTAS: 1 PIOR NOTA;  5 MELHOR NOTA)]])</f>
        <v/>
      </c>
      <c r="AQ128" s="7" t="n"/>
      <c r="AR128" s="64">
        <f>SUM(Tabela2[[#This Row],[Nota de Prioridade Quantitativa(NOTAS: 1 PIOR NOTA; 5 MELHOR NOTA)]],Tabela2[[#This Row],[Nota de Prioridade Qualitativa(NOTAS: 1 PIOR NOTA;  5 MELHOR NOTA)]])</f>
        <v/>
      </c>
      <c r="AS128" s="7" t="n"/>
      <c r="AZ128" s="20">
        <f t="array" ref="AZ128">StatusCarga(G128,H128,J128,K128)</f>
        <v/>
      </c>
      <c r="BA128" s="20">
        <f>IF(AZ128="CONFORME","CONFORME ✓","NÃO CONFORME ✗")</f>
        <v/>
      </c>
      <c r="BB128" t="n">
        <v>0</v>
      </c>
      <c r="BC128" t="n">
        <v>30</v>
      </c>
      <c r="BD128" t="n">
        <v>0</v>
      </c>
      <c r="BE128" t="n">
        <v>0</v>
      </c>
      <c r="BF128" t="inlineStr">
        <is>
          <t>CONFORME</t>
        </is>
      </c>
    </row>
    <row r="129" hidden="1" ht="21.75" customHeight="1" thickBot="1">
      <c r="A129" s="77" t="inlineStr">
        <is>
          <t>Mariana</t>
        </is>
      </c>
      <c r="B129" s="77" t="inlineStr">
        <is>
          <t>Fabrica Nova</t>
        </is>
      </c>
      <c r="C129" s="80" t="inlineStr">
        <is>
          <t>CA66557</t>
        </is>
      </c>
      <c r="D129" s="80" t="inlineStr">
        <is>
          <t>AFEX</t>
        </is>
      </c>
      <c r="E129" s="78" t="inlineStr">
        <is>
          <t>CATERPILLAR</t>
        </is>
      </c>
      <c r="F129" s="80" t="inlineStr">
        <is>
          <t>cat 789D</t>
        </is>
      </c>
      <c r="G129" s="81">
        <f>IFERROR(IF(F129=$AB$2,"",VLOOKUP(F129,'DATASHEET EQUIPAMENTOS'!D:N,2,FALSE)),"")</f>
        <v/>
      </c>
      <c r="H129" s="82" t="inlineStr">
        <is>
          <t>2x60lbs</t>
        </is>
      </c>
      <c r="I129" s="57">
        <f>_xlfn.XLOOKUP(Tabela2[[#This Row],[Modelo]],'DATASHEET EQUIPAMENTOS'!D:D,'DATASHEET EQUIPAMENTOS'!P:P,"",0,1)</f>
        <v/>
      </c>
      <c r="J129" s="81">
        <f>IF(F129=$Z$2,"",VLOOKUP(F129,'DATASHEET EQUIPAMENTOS'!D:N,3,FALSE))</f>
        <v/>
      </c>
      <c r="K129" s="85" t="inlineStr">
        <is>
          <t>2x5gal</t>
        </is>
      </c>
      <c r="L129" s="95">
        <f>IF(AZ129="CONFORME","CONFORME ✓","NÃO CONFORME ✗")</f>
        <v/>
      </c>
      <c r="M129" s="102">
        <f>IF(F129=$Z$2,"",VLOOKUP(F129,'DATASHEET EQUIPAMENTOS'!D:N,4,FALSE))</f>
        <v/>
      </c>
      <c r="N129" s="108" t="n">
        <v>3</v>
      </c>
      <c r="O129" s="102">
        <f>IF(F129=$Z$2,"",VLOOKUP(F129,'DATASHEET EQUIPAMENTOS'!D:N,5,FALSE))</f>
        <v/>
      </c>
      <c r="P129" s="103" t="n">
        <v>6</v>
      </c>
      <c r="Q129" s="102">
        <f>IF(F129=$Z$2,"",VLOOKUP(F129,'DATASHEET EQUIPAMENTOS'!D:N,6,FALSE))</f>
        <v/>
      </c>
      <c r="R129" s="104" t="n">
        <v>3</v>
      </c>
      <c r="S129" s="95">
        <f>IF(Tabela2[[#This Row],[Instalado Sensor Motor]]="Linear","CONFORME ✓",IF(SUM(M129,O129,Q129)&lt;SUM(N129,P129,R129),"CONFORME ✓",IF(SUM(M129,O129,Q129)=SUM(N129,P129,R129),"CONFORME ✓","NÃO CONFORME ✗")))</f>
        <v/>
      </c>
      <c r="T129" s="91">
        <f>IF(F129=$Z$2,"",VLOOKUP(F129,'DATASHEET EQUIPAMENTOS'!D:N,7,FALSE))</f>
        <v/>
      </c>
      <c r="U129" s="57" t="n">
        <v>28</v>
      </c>
      <c r="V129" s="56">
        <f>IF(F129=$Z$2,"",VLOOKUP(F129,'DATASHEET EQUIPAMENTOS'!D:N,8,FALSE))</f>
        <v/>
      </c>
      <c r="W129" s="57" t="n">
        <v>18</v>
      </c>
      <c r="X129" s="56">
        <f>IF(F129=$Z$2,"",VLOOKUP(F129,'DATASHEET EQUIPAMENTOS'!D:N,9,FALSE))</f>
        <v/>
      </c>
      <c r="Y129" s="57" t="n">
        <v>4</v>
      </c>
      <c r="Z129" s="57">
        <f>IF(SUM(T129,V129,X129)&lt;=SUM(U129,W129,Y129),"CONFORME ✓",IF(SUM(T129,V129,X129)&gt;SUM(U129,W129,Y129),"NÃO CONFORME ✗"))</f>
        <v/>
      </c>
      <c r="AA129" s="56">
        <f>IF(F129=$Z$2,"",VLOOKUP(F129,'DATASHEET EQUIPAMENTOS'!D:N,10,FALSE))</f>
        <v/>
      </c>
      <c r="AB129" s="57" t="n">
        <v>19</v>
      </c>
      <c r="AC129" s="56">
        <f>IF(F129=$Z$2,"",VLOOKUP(F129,'DATASHEET EQUIPAMENTOS'!D:N,11,FALSE))</f>
        <v/>
      </c>
      <c r="AD129" s="57" t="n">
        <v>6</v>
      </c>
      <c r="AE129" s="56">
        <f>IF(F129=$Z$2,"",VLOOKUP(F129,'DATASHEET EQUIPAMENTOS'!D:O,12,FALSE))</f>
        <v/>
      </c>
      <c r="AF129" s="57" t="n">
        <v>6</v>
      </c>
      <c r="AG129" s="57">
        <f>IF(SUM(AA129,AC129,AE129)&lt;=SUM(AB129,AD129,AF129),"CONFORME ✓",IF(SUM(AA129,AC129,AE129)&gt;SUM(AB129,AD129,AF129),"NÃO CONFORME ✗"))</f>
        <v/>
      </c>
      <c r="AH129" s="72" t="n"/>
      <c r="AI129" s="72" t="n"/>
      <c r="AJ129" s="72" t="n">
        <v>1</v>
      </c>
      <c r="AK129" s="7" t="inlineStr">
        <is>
          <t>FOI INSTALADO UMA CORDOALHA NA FRENTE DO PAINEL IMPEDINDO A VISÃO DO OPERADOR</t>
        </is>
      </c>
      <c r="AL129" s="58">
        <f>IFERROR(CALCULOS!H124,"NECESSÁRIO REVISAR DATASHEET")</f>
        <v/>
      </c>
      <c r="AM12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29" s="64">
        <f>SUM(Tabela2[[#This Row],[Nota de Prioridade Quantitativa(NOTAS: 1 PIOR NOTA; 5 MELHOR NOTA)]],Tabela2[[#This Row],[Nota de Prioridade Qualitativa(NOTAS: 1 PIOR NOTA;  5 MELHOR NOTA)]])</f>
        <v/>
      </c>
      <c r="AO129" s="7" t="n">
        <v>151188</v>
      </c>
      <c r="AP129" s="64">
        <f>SUM(Tabela2[[#This Row],[Nota de Prioridade Quantitativa(NOTAS: 1 PIOR NOTA; 5 MELHOR NOTA)]],Tabela2[[#This Row],[Nota de Prioridade Qualitativa(NOTAS: 1 PIOR NOTA;  5 MELHOR NOTA)]])</f>
        <v/>
      </c>
      <c r="AQ129" s="7" t="inlineStr">
        <is>
          <t>RETORNAR NO EQUIPAMENTO</t>
        </is>
      </c>
      <c r="AR129" s="64">
        <f>SUM(Tabela2[[#This Row],[Nota de Prioridade Quantitativa(NOTAS: 1 PIOR NOTA; 5 MELHOR NOTA)]],Tabela2[[#This Row],[Nota de Prioridade Qualitativa(NOTAS: 1 PIOR NOTA;  5 MELHOR NOTA)]])</f>
        <v/>
      </c>
      <c r="AS129" s="7" t="n"/>
      <c r="AZ129" s="20">
        <f t="array" ref="AZ129">StatusCarga(G129,H129,J129,K129)</f>
        <v/>
      </c>
      <c r="BA129" s="20">
        <f>IF(AZ129="CONFORME","CONFORME ✓","NÃO CONFORME ✗")</f>
        <v/>
      </c>
      <c r="BB129" t="n">
        <v>0</v>
      </c>
      <c r="BC129" t="n">
        <v>120</v>
      </c>
      <c r="BD129" t="n">
        <v>0</v>
      </c>
      <c r="BE129" t="n">
        <v>10</v>
      </c>
      <c r="BF129" t="inlineStr">
        <is>
          <t>CONFORME</t>
        </is>
      </c>
    </row>
    <row r="130" hidden="1" ht="21.75" customHeight="1" thickBot="1">
      <c r="A130" s="77" t="inlineStr">
        <is>
          <t>Paraoupeba</t>
        </is>
      </c>
      <c r="B130" s="77" t="inlineStr">
        <is>
          <t>Fábrica</t>
        </is>
      </c>
      <c r="C130" s="80" t="inlineStr">
        <is>
          <t>RE3925</t>
        </is>
      </c>
      <c r="D130" s="80" t="inlineStr">
        <is>
          <t>AFEX</t>
        </is>
      </c>
      <c r="E130" s="78" t="inlineStr">
        <is>
          <t>CATERPILLAR</t>
        </is>
      </c>
      <c r="F130" s="80" t="inlineStr">
        <is>
          <t>CAT 390</t>
        </is>
      </c>
      <c r="G130" s="81">
        <f>IFERROR(IF(F130=$AB$2,"",VLOOKUP(F130,'DATASHEET EQUIPAMENTOS'!D:N,2,FALSE)),"")</f>
        <v/>
      </c>
      <c r="H130" s="82" t="inlineStr">
        <is>
          <t>3x30lbs</t>
        </is>
      </c>
      <c r="I130" s="57">
        <f>_xlfn.XLOOKUP(Tabela2[[#This Row],[Modelo]],'DATASHEET EQUIPAMENTOS'!D:D,'DATASHEET EQUIPAMENTOS'!P:P,"",0,1)</f>
        <v/>
      </c>
      <c r="J130" s="81">
        <f>IF(F130=$Z$2,"",VLOOKUP(F130,'DATASHEET EQUIPAMENTOS'!D:N,3,FALSE))</f>
        <v/>
      </c>
      <c r="K130" s="85" t="n">
        <v>0</v>
      </c>
      <c r="L130" s="95">
        <f>IF(AZ130="CONFORME","CONFORME ✓","NÃO CONFORME ✗")</f>
        <v/>
      </c>
      <c r="M130" s="102">
        <f>IF(F130=$Z$2,"",VLOOKUP(F130,'DATASHEET EQUIPAMENTOS'!D:N,4,FALSE))</f>
        <v/>
      </c>
      <c r="N130" s="108" t="n">
        <v>5</v>
      </c>
      <c r="O130" s="102">
        <f>IF(F130=$Z$2,"",VLOOKUP(F130,'DATASHEET EQUIPAMENTOS'!D:N,5,FALSE))</f>
        <v/>
      </c>
      <c r="P130" s="103" t="n">
        <v>0</v>
      </c>
      <c r="Q130" s="102">
        <f>IF(F130=$Z$2,"",VLOOKUP(F130,'DATASHEET EQUIPAMENTOS'!D:N,6,FALSE))</f>
        <v/>
      </c>
      <c r="R130" s="104" t="n">
        <v>4</v>
      </c>
      <c r="S130" s="95">
        <f>IF(Tabela2[[#This Row],[Instalado Sensor Motor]]="Linear","CONFORME ✓",IF(SUM(M130,O130,Q130)&lt;SUM(N130,P130,R130),"CONFORME ✓",IF(SUM(M130,O130,Q130)=SUM(N130,P130,R130),"CONFORME ✓","NÃO CONFORME ✗")))</f>
        <v/>
      </c>
      <c r="T130" s="91">
        <f>IF(F130=$Z$2,"",VLOOKUP(F130,'DATASHEET EQUIPAMENTOS'!D:N,7,FALSE))</f>
        <v/>
      </c>
      <c r="U130" s="57" t="n">
        <v>9</v>
      </c>
      <c r="V130" s="56">
        <f>IF(F130=$Z$2,"",VLOOKUP(F130,'DATASHEET EQUIPAMENTOS'!D:N,8,FALSE))</f>
        <v/>
      </c>
      <c r="W130" s="63" t="n">
        <v>3</v>
      </c>
      <c r="X130" s="56">
        <f>IF(F130=$Z$2,"",VLOOKUP(F130,'DATASHEET EQUIPAMENTOS'!D:N,9,FALSE))</f>
        <v/>
      </c>
      <c r="Y130" s="63" t="n">
        <v>6</v>
      </c>
      <c r="Z130" s="57">
        <f>IF(SUM(T130,V130,X130)&lt;=SUM(U130,W130,Y130),"CONFORME ✓",IF(SUM(T130,V130,X130)&gt;SUM(U130,W130,Y130),"NÃO CONFORME ✗"))</f>
        <v/>
      </c>
      <c r="AA130" s="56">
        <f>IF(F130=$Z$2,"",VLOOKUP(F130,'DATASHEET EQUIPAMENTOS'!D:N,10,FALSE))</f>
        <v/>
      </c>
      <c r="AB130" s="57" t="n"/>
      <c r="AC130" s="56">
        <f>IF(F130=$Z$2,"",VLOOKUP(F130,'DATASHEET EQUIPAMENTOS'!D:N,11,FALSE))</f>
        <v/>
      </c>
      <c r="AD130" s="57" t="n"/>
      <c r="AE130" s="56">
        <f>IF(F130=$Z$2,"",VLOOKUP(F130,'DATASHEET EQUIPAMENTOS'!D:O,12,FALSE))</f>
        <v/>
      </c>
      <c r="AF130" s="57" t="n"/>
      <c r="AG130" s="57">
        <f>IF(SUM(AA130,AC130,AE130)&lt;=SUM(AB130,AD130,AF130),"CONFORME ✓",IF(SUM(AA130,AC130,AE130)&gt;SUM(AB130,AD130,AF130),"NÃO CONFORME ✗"))</f>
        <v/>
      </c>
      <c r="AH130" s="72" t="n">
        <v>3</v>
      </c>
      <c r="AI130" s="72" t="n">
        <v>2.5</v>
      </c>
      <c r="AJ130" s="72" t="n">
        <v>5</v>
      </c>
      <c r="AK130" s="7" t="inlineStr">
        <is>
          <t>ADEQUAR QUANTIDADE DE SENSORES PQS NAS BOMBAS E TRANSMISSÃO;  ADEQUAR POSICIONAMENTO DO CABOS DOS SENSORES</t>
        </is>
      </c>
      <c r="AL130" s="58">
        <f>IFERROR(CALCULOS!H125,"NECESSÁRIO REVISAR DATASHEET")</f>
        <v/>
      </c>
      <c r="AM13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0" s="64">
        <f>SUM(Tabela2[[#This Row],[Nota de Prioridade Quantitativa(NOTAS: 1 PIOR NOTA; 5 MELHOR NOTA)]],Tabela2[[#This Row],[Nota de Prioridade Qualitativa(NOTAS: 1 PIOR NOTA;  5 MELHOR NOTA)]])</f>
        <v/>
      </c>
      <c r="AO130" s="7" t="n">
        <v>150715</v>
      </c>
      <c r="AP130" s="64">
        <f>SUM(Tabela2[[#This Row],[Nota de Prioridade Quantitativa(NOTAS: 1 PIOR NOTA; 5 MELHOR NOTA)]],Tabela2[[#This Row],[Nota de Prioridade Qualitativa(NOTAS: 1 PIOR NOTA;  5 MELHOR NOTA)]])</f>
        <v/>
      </c>
      <c r="AQ130" s="7" t="n"/>
      <c r="AR130" s="64">
        <f>SUM(Tabela2[[#This Row],[Nota de Prioridade Quantitativa(NOTAS: 1 PIOR NOTA; 5 MELHOR NOTA)]],Tabela2[[#This Row],[Nota de Prioridade Qualitativa(NOTAS: 1 PIOR NOTA;  5 MELHOR NOTA)]])</f>
        <v/>
      </c>
      <c r="AS130" s="7" t="n"/>
      <c r="AZ130" s="20">
        <f t="array" ref="AZ130">StatusCarga(G130,H130,J130,K130)</f>
        <v/>
      </c>
      <c r="BA130" s="20">
        <f>IF(AZ130="CONFORME","CONFORME ✓","NÃO CONFORME ✗")</f>
        <v/>
      </c>
      <c r="BB130" t="n">
        <v>0</v>
      </c>
      <c r="BC130" t="n">
        <v>90</v>
      </c>
      <c r="BD130" t="n">
        <v>0</v>
      </c>
      <c r="BE130" t="n">
        <v>0</v>
      </c>
      <c r="BF130" t="inlineStr">
        <is>
          <t>CONFORME</t>
        </is>
      </c>
    </row>
    <row r="131" hidden="1" ht="21.75" customHeight="1" thickBot="1">
      <c r="A131" s="77" t="inlineStr">
        <is>
          <t>Mariana</t>
        </is>
      </c>
      <c r="B131" s="77" t="inlineStr">
        <is>
          <t>Fazendão</t>
        </is>
      </c>
      <c r="C131" s="80" t="inlineStr">
        <is>
          <t>EM4002</t>
        </is>
      </c>
      <c r="D131" s="80" t="inlineStr">
        <is>
          <t>KIDDE</t>
        </is>
      </c>
      <c r="E131" s="78" t="inlineStr">
        <is>
          <t>KOMATSU</t>
        </is>
      </c>
      <c r="F131" s="80" t="inlineStr">
        <is>
          <t>KOMATSU PC4000</t>
        </is>
      </c>
      <c r="G131" s="81">
        <f>IFERROR(IF(F131=$AB$2,"",VLOOKUP(F131,'DATASHEET EQUIPAMENTOS'!D:N,2,FALSE)),"")</f>
        <v/>
      </c>
      <c r="H131" s="82" t="n"/>
      <c r="I131" s="57">
        <f>_xlfn.XLOOKUP(Tabela2[[#This Row],[Modelo]],'DATASHEET EQUIPAMENTOS'!D:D,'DATASHEET EQUIPAMENTOS'!P:P,"",0,1)</f>
        <v/>
      </c>
      <c r="J131" s="81">
        <f>IF(F131=$Z$2,"",VLOOKUP(F131,'DATASHEET EQUIPAMENTOS'!D:N,3,FALSE))</f>
        <v/>
      </c>
      <c r="K131" s="85" t="n">
        <v>0</v>
      </c>
      <c r="L131" s="95">
        <f>IF(AZ131="CONFORME","CONFORME ✓","NÃO CONFORME ✗")</f>
        <v/>
      </c>
      <c r="M131" s="102">
        <f>IF(F131=$Z$2,"",VLOOKUP(F131,'DATASHEET EQUIPAMENTOS'!D:N,4,FALSE))</f>
        <v/>
      </c>
      <c r="N131" s="108" t="inlineStr">
        <is>
          <t>Linear</t>
        </is>
      </c>
      <c r="O131" s="102">
        <f>IF(F131=$Z$2,"",VLOOKUP(F131,'DATASHEET EQUIPAMENTOS'!D:N,5,FALSE))</f>
        <v/>
      </c>
      <c r="P131" s="103" t="n"/>
      <c r="Q131" s="102">
        <f>IF(F131=$Z$2,"",VLOOKUP(F131,'DATASHEET EQUIPAMENTOS'!D:N,6,FALSE))</f>
        <v/>
      </c>
      <c r="R131" s="104" t="n"/>
      <c r="S131" s="95">
        <f>IF(Tabela2[[#This Row],[Instalado Sensor Motor]]="Linear","CONFORME ✓",IF(SUM(M131,O131,Q131)&lt;SUM(N131,P131,R131),"CONFORME ✓",IF(SUM(M131,O131,Q131)=SUM(N131,P131,R131),"CONFORME ✓","NÃO CONFORME ✗")))</f>
        <v/>
      </c>
      <c r="T131" s="91">
        <f>IF(F131=$Z$2,"",VLOOKUP(F131,'DATASHEET EQUIPAMENTOS'!D:N,7,FALSE))</f>
        <v/>
      </c>
      <c r="U131" s="57" t="n"/>
      <c r="V131" s="56">
        <f>IF(F131=$Z$2,"",VLOOKUP(F131,'DATASHEET EQUIPAMENTOS'!D:N,8,FALSE))</f>
        <v/>
      </c>
      <c r="W131" s="57" t="n"/>
      <c r="X131" s="56">
        <f>IF(F131=$Z$2,"",VLOOKUP(F131,'DATASHEET EQUIPAMENTOS'!D:N,9,FALSE))</f>
        <v/>
      </c>
      <c r="Y131" s="57" t="n"/>
      <c r="Z131" s="57">
        <f>IF(SUM(T131,V131,X131)&lt;=SUM(U131,W131,Y131),"CONFORME ✓",IF(SUM(T131,V131,X131)&gt;SUM(U131,W131,Y131),"NÃO CONFORME ✗"))</f>
        <v/>
      </c>
      <c r="AA131" s="56">
        <f>IF(F131=$Z$2,"",VLOOKUP(F131,'DATASHEET EQUIPAMENTOS'!D:N,10,FALSE))</f>
        <v/>
      </c>
      <c r="AB131" s="57" t="n"/>
      <c r="AC131" s="56">
        <f>IF(F131=$Z$2,"",VLOOKUP(F131,'DATASHEET EQUIPAMENTOS'!D:N,11,FALSE))</f>
        <v/>
      </c>
      <c r="AD131" s="57" t="n"/>
      <c r="AE131" s="56">
        <f>IF(F131=$Z$2,"",VLOOKUP(F131,'DATASHEET EQUIPAMENTOS'!D:O,12,FALSE))</f>
        <v/>
      </c>
      <c r="AF131" s="57" t="n"/>
      <c r="AG131" s="57">
        <f>IF(SUM(AA131,AC131,AE131)&lt;=SUM(AB131,AD131,AF131),"CONFORME ✓",IF(SUM(AA131,AC131,AE131)&gt;SUM(AB131,AD131,AF131),"NÃO CONFORME ✗"))</f>
        <v/>
      </c>
      <c r="AH131" s="72" t="n"/>
      <c r="AI131" s="72" t="n"/>
      <c r="AJ131" s="72" t="n"/>
      <c r="AK131" s="7" t="inlineStr">
        <is>
          <t>OS ITENS INSPECIONADOS ESTÃO EM BOAS CONDICOES</t>
        </is>
      </c>
      <c r="AL131" s="58">
        <f>IFERROR(CALCULOS!H126,"NECESSÁRIO REVISAR DATASHEET")</f>
        <v/>
      </c>
      <c r="AM13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1" s="64">
        <f>SUM(Tabela2[[#This Row],[Nota de Prioridade Quantitativa(NOTAS: 1 PIOR NOTA; 5 MELHOR NOTA)]],Tabela2[[#This Row],[Nota de Prioridade Qualitativa(NOTAS: 1 PIOR NOTA;  5 MELHOR NOTA)]])</f>
        <v/>
      </c>
      <c r="AO131" s="7" t="n">
        <v>151097</v>
      </c>
      <c r="AP131" s="64">
        <f>SUM(Tabela2[[#This Row],[Nota de Prioridade Quantitativa(NOTAS: 1 PIOR NOTA; 5 MELHOR NOTA)]],Tabela2[[#This Row],[Nota de Prioridade Qualitativa(NOTAS: 1 PIOR NOTA;  5 MELHOR NOTA)]])</f>
        <v/>
      </c>
      <c r="AQ131" s="7" t="n"/>
      <c r="AR131" s="64">
        <f>SUM(Tabela2[[#This Row],[Nota de Prioridade Quantitativa(NOTAS: 1 PIOR NOTA; 5 MELHOR NOTA)]],Tabela2[[#This Row],[Nota de Prioridade Qualitativa(NOTAS: 1 PIOR NOTA;  5 MELHOR NOTA)]])</f>
        <v/>
      </c>
      <c r="AS131" s="7" t="n"/>
      <c r="AZ131" s="20">
        <f t="array" ref="AZ131">StatusCarga(G131,H131,J131,K131)</f>
        <v/>
      </c>
      <c r="BA131" s="20">
        <f>IF(AZ131="CONFORME","CONFORME ✓","NÃO CONFORME ✗")</f>
        <v/>
      </c>
      <c r="BB131" t="n">
        <v>0</v>
      </c>
      <c r="BC131" t="n">
        <v>0</v>
      </c>
      <c r="BD131" t="n">
        <v>0</v>
      </c>
      <c r="BE131" t="n">
        <v>0</v>
      </c>
      <c r="BF131" t="inlineStr">
        <is>
          <t>CONFORME</t>
        </is>
      </c>
    </row>
    <row r="132" hidden="1" ht="21.75" customHeight="1" thickBot="1">
      <c r="A132" s="77" t="inlineStr">
        <is>
          <t>VGR</t>
        </is>
      </c>
      <c r="B132" s="77" t="inlineStr">
        <is>
          <t>Aboboras</t>
        </is>
      </c>
      <c r="C132" s="80" t="inlineStr">
        <is>
          <t>TE4615</t>
        </is>
      </c>
      <c r="D132" s="80" t="inlineStr">
        <is>
          <t>KIDDE</t>
        </is>
      </c>
      <c r="E132" s="78" t="inlineStr">
        <is>
          <t>CATERPILLAR</t>
        </is>
      </c>
      <c r="F132" s="80" t="inlineStr">
        <is>
          <t>CAT D6</t>
        </is>
      </c>
      <c r="G132" s="81">
        <f>IFERROR(IF(F132=$AB$2,"",VLOOKUP(F132,'DATASHEET EQUIPAMENTOS'!D:N,2,FALSE)),"")</f>
        <v/>
      </c>
      <c r="H132" s="82" t="inlineStr">
        <is>
          <t>1x25lbs</t>
        </is>
      </c>
      <c r="I132" s="57">
        <f>_xlfn.XLOOKUP(Tabela2[[#This Row],[Modelo]],'DATASHEET EQUIPAMENTOS'!D:D,'DATASHEET EQUIPAMENTOS'!P:P,"",0,1)</f>
        <v/>
      </c>
      <c r="J132" s="81">
        <f>IF(F132=$Z$2,"",VLOOKUP(F132,'DATASHEET EQUIPAMENTOS'!D:N,3,FALSE))</f>
        <v/>
      </c>
      <c r="K132" s="85" t="n">
        <v>0</v>
      </c>
      <c r="L132" s="95">
        <f>IF(AZ132="CONFORME","CONFORME ✓","NÃO CONFORME ✗")</f>
        <v/>
      </c>
      <c r="M132" s="102">
        <f>IF(F132=$Z$2,"",VLOOKUP(F132,'DATASHEET EQUIPAMENTOS'!D:N,4,FALSE))</f>
        <v/>
      </c>
      <c r="N132" s="108" t="inlineStr">
        <is>
          <t>Linear</t>
        </is>
      </c>
      <c r="O132" s="102">
        <f>IF(F132=$Z$2,"",VLOOKUP(F132,'DATASHEET EQUIPAMENTOS'!D:N,5,FALSE))</f>
        <v/>
      </c>
      <c r="P132" s="103" t="n"/>
      <c r="Q132" s="102">
        <f>IF(F132=$Z$2,"",VLOOKUP(F132,'DATASHEET EQUIPAMENTOS'!D:N,6,FALSE))</f>
        <v/>
      </c>
      <c r="R132" s="104" t="n"/>
      <c r="S132" s="95">
        <f>IF(Tabela2[[#This Row],[Instalado Sensor Motor]]="Linear","CONFORME ✓",IF(SUM(M132,O132,Q132)&lt;SUM(N132,P132,R132),"CONFORME ✓",IF(SUM(M132,O132,Q132)=SUM(N132,P132,R132),"CONFORME ✓","NÃO CONFORME ✗")))</f>
        <v/>
      </c>
      <c r="T132" s="91">
        <f>IF(F132=$Z$2,"",VLOOKUP(F132,'DATASHEET EQUIPAMENTOS'!D:N,7,FALSE))</f>
        <v/>
      </c>
      <c r="U132" s="57" t="n">
        <v>4</v>
      </c>
      <c r="V132" s="56">
        <f>IF(F132=$Z$2,"",VLOOKUP(F132,'DATASHEET EQUIPAMENTOS'!D:N,8,FALSE))</f>
        <v/>
      </c>
      <c r="W132" s="57" t="n"/>
      <c r="X132" s="56">
        <f>IF(F132=$Z$2,"",VLOOKUP(F132,'DATASHEET EQUIPAMENTOS'!D:N,9,FALSE))</f>
        <v/>
      </c>
      <c r="Y132" s="57" t="n">
        <v>2</v>
      </c>
      <c r="Z132" s="57">
        <f>IF(SUM(T132,V132,X132)&lt;=SUM(U132,W132,Y132),"CONFORME ✓",IF(SUM(T132,V132,X132)&gt;SUM(U132,W132,Y132),"NÃO CONFORME ✗"))</f>
        <v/>
      </c>
      <c r="AA132" s="56">
        <f>IF(F132=$Z$2,"",VLOOKUP(F132,'DATASHEET EQUIPAMENTOS'!D:N,10,FALSE))</f>
        <v/>
      </c>
      <c r="AB132" s="57" t="n">
        <v>0</v>
      </c>
      <c r="AC132" s="56">
        <f>IF(F132=$Z$2,"",VLOOKUP(F132,'DATASHEET EQUIPAMENTOS'!D:N,11,FALSE))</f>
        <v/>
      </c>
      <c r="AD132" s="57" t="n"/>
      <c r="AE132" s="56">
        <f>IF(F132=$Z$2,"",VLOOKUP(F132,'DATASHEET EQUIPAMENTOS'!D:O,12,FALSE))</f>
        <v/>
      </c>
      <c r="AF132" s="57" t="n"/>
      <c r="AG132" s="57">
        <f>IF(SUM(AA132,AC132,AE132)&lt;=SUM(AB132,AD132,AF132),"CONFORME ✓",IF(SUM(AA132,AC132,AE132)&gt;SUM(AB132,AD132,AF132),"NÃO CONFORME ✗"))</f>
        <v/>
      </c>
      <c r="AH132" s="72" t="n">
        <v>4</v>
      </c>
      <c r="AI132" s="72" t="n">
        <v>4</v>
      </c>
      <c r="AJ132" s="72" t="n">
        <v>5</v>
      </c>
      <c r="AK132" s="7" t="inlineStr">
        <is>
          <t>MELHOR FIXAÇÃO DO CABO LHS</t>
        </is>
      </c>
      <c r="AL132" s="58">
        <f>IFERROR(CALCULOS!H127,"NECESSÁRIO REVISAR DATASHEET")</f>
        <v/>
      </c>
      <c r="AM13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2" s="64">
        <f>SUM(Tabela2[[#This Row],[Nota de Prioridade Quantitativa(NOTAS: 1 PIOR NOTA; 5 MELHOR NOTA)]],Tabela2[[#This Row],[Nota de Prioridade Qualitativa(NOTAS: 1 PIOR NOTA;  5 MELHOR NOTA)]])</f>
        <v/>
      </c>
      <c r="AO132" s="7" t="n">
        <v>149312</v>
      </c>
      <c r="AP132" s="64">
        <f>SUM(Tabela2[[#This Row],[Nota de Prioridade Quantitativa(NOTAS: 1 PIOR NOTA; 5 MELHOR NOTA)]],Tabela2[[#This Row],[Nota de Prioridade Qualitativa(NOTAS: 1 PIOR NOTA;  5 MELHOR NOTA)]])</f>
        <v/>
      </c>
      <c r="AQ132" s="7" t="inlineStr">
        <is>
          <t>Qualificado por Rennan</t>
        </is>
      </c>
      <c r="AR132" s="64">
        <f>SUM(Tabela2[[#This Row],[Nota de Prioridade Quantitativa(NOTAS: 1 PIOR NOTA; 5 MELHOR NOTA)]],Tabela2[[#This Row],[Nota de Prioridade Qualitativa(NOTAS: 1 PIOR NOTA;  5 MELHOR NOTA)]])</f>
        <v/>
      </c>
      <c r="AS132" s="7" t="n"/>
      <c r="AZ132" s="20">
        <f t="array" ref="AZ132">StatusCarga(G132,H132,J132,K132)</f>
        <v/>
      </c>
      <c r="BA132" s="20">
        <f>IF(AZ132="CONFORME","CONFORME ✓","NÃO CONFORME ✗")</f>
        <v/>
      </c>
      <c r="BB132" t="n">
        <v>0</v>
      </c>
      <c r="BC132" t="n">
        <v>25</v>
      </c>
      <c r="BD132" t="n">
        <v>0</v>
      </c>
      <c r="BE132" t="n">
        <v>0</v>
      </c>
      <c r="BF132" t="inlineStr">
        <is>
          <t>CONFORME</t>
        </is>
      </c>
    </row>
    <row r="133" hidden="1" ht="21.75" customHeight="1" thickBot="1">
      <c r="A133" s="77" t="inlineStr">
        <is>
          <t>Paraoupeba</t>
        </is>
      </c>
      <c r="B133" s="77" t="inlineStr">
        <is>
          <t>Mar azul</t>
        </is>
      </c>
      <c r="C133" s="80" t="inlineStr">
        <is>
          <t>PM4363</t>
        </is>
      </c>
      <c r="D133" s="80" t="inlineStr">
        <is>
          <t>AFEX</t>
        </is>
      </c>
      <c r="E133" s="78" t="inlineStr">
        <is>
          <t>CATERPILLAR</t>
        </is>
      </c>
      <c r="F133" s="80" t="inlineStr">
        <is>
          <t>CAT 980L</t>
        </is>
      </c>
      <c r="G133" s="81">
        <f>IFERROR(IF(F133=$AB$2,"",VLOOKUP(F133,'DATASHEET EQUIPAMENTOS'!D:N,2,FALSE)),"")</f>
        <v/>
      </c>
      <c r="H133" s="82" t="inlineStr">
        <is>
          <t>1x60lbs</t>
        </is>
      </c>
      <c r="I133" s="57">
        <f>_xlfn.XLOOKUP(Tabela2[[#This Row],[Modelo]],'DATASHEET EQUIPAMENTOS'!D:D,'DATASHEET EQUIPAMENTOS'!P:P,"",0,1)</f>
        <v/>
      </c>
      <c r="J133" s="81">
        <f>IF(F133=$Z$2,"",VLOOKUP(F133,'DATASHEET EQUIPAMENTOS'!D:N,3,FALSE))</f>
        <v/>
      </c>
      <c r="K133" s="85" t="n">
        <v>0</v>
      </c>
      <c r="L133" s="95">
        <f>IF(AZ133="CONFORME","CONFORME ✓","NÃO CONFORME ✗")</f>
        <v/>
      </c>
      <c r="M133" s="102">
        <f>IF(F133=$Z$2,"",VLOOKUP(F133,'DATASHEET EQUIPAMENTOS'!D:N,4,FALSE))</f>
        <v/>
      </c>
      <c r="N133" s="108" t="n">
        <v>5</v>
      </c>
      <c r="O133" s="102">
        <f>IF(F133=$Z$2,"",VLOOKUP(F133,'DATASHEET EQUIPAMENTOS'!D:N,5,FALSE))</f>
        <v/>
      </c>
      <c r="P133" s="103" t="n">
        <v>1</v>
      </c>
      <c r="Q133" s="102">
        <f>IF(F133=$Z$2,"",VLOOKUP(F133,'DATASHEET EQUIPAMENTOS'!D:N,6,FALSE))</f>
        <v/>
      </c>
      <c r="R133" s="104" t="n">
        <v>2</v>
      </c>
      <c r="S133" s="95">
        <f>IF(Tabela2[[#This Row],[Instalado Sensor Motor]]="Linear","CONFORME ✓",IF(SUM(M133,O133,Q133)&lt;SUM(N133,P133,R133),"CONFORME ✓",IF(SUM(M133,O133,Q133)=SUM(N133,P133,R133),"CONFORME ✓","NÃO CONFORME ✗")))</f>
        <v/>
      </c>
      <c r="T133" s="91">
        <f>IF(F133=$Z$2,"",VLOOKUP(F133,'DATASHEET EQUIPAMENTOS'!D:N,7,FALSE))</f>
        <v/>
      </c>
      <c r="U133" s="57" t="n">
        <v>12</v>
      </c>
      <c r="V133" s="56">
        <f>IF(F133=$Z$2,"",VLOOKUP(F133,'DATASHEET EQUIPAMENTOS'!D:N,8,FALSE))</f>
        <v/>
      </c>
      <c r="W133" s="57" t="n">
        <v>6</v>
      </c>
      <c r="X133" s="56">
        <f>IF(F133=$Z$2,"",VLOOKUP(F133,'DATASHEET EQUIPAMENTOS'!D:N,9,FALSE))</f>
        <v/>
      </c>
      <c r="Y133" s="57" t="n">
        <v>6</v>
      </c>
      <c r="Z133" s="57">
        <f>IF(SUM(T133,V133,X133)&lt;=SUM(U133,W133,Y133),"CONFORME ✓",IF(SUM(T133,V133,X133)&gt;SUM(U133,W133,Y133),"NÃO CONFORME ✗"))</f>
        <v/>
      </c>
      <c r="AA133" s="56">
        <f>IF(F133=$Z$2,"",VLOOKUP(F133,'DATASHEET EQUIPAMENTOS'!D:N,10,FALSE))</f>
        <v/>
      </c>
      <c r="AB133" s="57" t="n">
        <v>12</v>
      </c>
      <c r="AC133" s="56">
        <f>IF(F133=$Z$2,"",VLOOKUP(F133,'DATASHEET EQUIPAMENTOS'!D:N,11,FALSE))</f>
        <v/>
      </c>
      <c r="AD133" s="57" t="n">
        <v>6</v>
      </c>
      <c r="AE133" s="56">
        <f>IF(F133=$Z$2,"",VLOOKUP(F133,'DATASHEET EQUIPAMENTOS'!D:O,12,FALSE))</f>
        <v/>
      </c>
      <c r="AF133" s="57" t="n">
        <v>6</v>
      </c>
      <c r="AG133" s="57">
        <f>IF(SUM(AA133,AC133,AE133)&lt;=SUM(AB133,AD133,AF133),"CONFORME ✓",IF(SUM(AA133,AC133,AE133)&gt;SUM(AB133,AD133,AF133),"NÃO CONFORME ✗"))</f>
        <v/>
      </c>
      <c r="AH133" s="72" t="n"/>
      <c r="AI133" s="72" t="n"/>
      <c r="AJ133" s="72" t="n"/>
      <c r="AK133" s="7" t="inlineStr">
        <is>
          <t>SISTEMA OPERANDO NORMALMENTE</t>
        </is>
      </c>
      <c r="AL133" s="58">
        <f>IFERROR(CALCULOS!H128,"NECESSÁRIO REVISAR DATASHEET")</f>
        <v/>
      </c>
      <c r="AM13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3" s="64">
        <f>SUM(Tabela2[[#This Row],[Nota de Prioridade Quantitativa(NOTAS: 1 PIOR NOTA; 5 MELHOR NOTA)]],Tabela2[[#This Row],[Nota de Prioridade Qualitativa(NOTAS: 1 PIOR NOTA;  5 MELHOR NOTA)]])</f>
        <v/>
      </c>
      <c r="AO133" s="7" t="n">
        <v>152358</v>
      </c>
      <c r="AP133" s="64">
        <f>SUM(Tabela2[[#This Row],[Nota de Prioridade Quantitativa(NOTAS: 1 PIOR NOTA; 5 MELHOR NOTA)]],Tabela2[[#This Row],[Nota de Prioridade Qualitativa(NOTAS: 1 PIOR NOTA;  5 MELHOR NOTA)]])</f>
        <v/>
      </c>
      <c r="AQ133" s="7" t="n"/>
      <c r="AR133" s="64">
        <f>SUM(Tabela2[[#This Row],[Nota de Prioridade Quantitativa(NOTAS: 1 PIOR NOTA; 5 MELHOR NOTA)]],Tabela2[[#This Row],[Nota de Prioridade Qualitativa(NOTAS: 1 PIOR NOTA;  5 MELHOR NOTA)]])</f>
        <v/>
      </c>
      <c r="AS133" s="7" t="n"/>
      <c r="AZ133" s="20">
        <f t="array" ref="AZ133">StatusCarga(G133,H133,J133,K133)</f>
        <v/>
      </c>
      <c r="BA133" s="20">
        <f>IF(AZ133="CONFORME","CONFORME ✓","NÃO CONFORME ✗")</f>
        <v/>
      </c>
      <c r="BB133" t="n">
        <v>0</v>
      </c>
      <c r="BC133" t="n">
        <v>60</v>
      </c>
      <c r="BD133" t="n">
        <v>0</v>
      </c>
      <c r="BE133" t="n">
        <v>0</v>
      </c>
      <c r="BF133" t="inlineStr">
        <is>
          <t>CONFORME</t>
        </is>
      </c>
    </row>
    <row r="134" hidden="1" ht="21.75" customHeight="1" thickBot="1">
      <c r="A134" s="77" t="inlineStr">
        <is>
          <t>Paraoupeba</t>
        </is>
      </c>
      <c r="B134" s="77" t="inlineStr">
        <is>
          <t>Horizontes</t>
        </is>
      </c>
      <c r="C134" s="80" t="inlineStr">
        <is>
          <t>TE2401</t>
        </is>
      </c>
      <c r="D134" s="80" t="inlineStr">
        <is>
          <t>AFEX</t>
        </is>
      </c>
      <c r="E134" s="78" t="inlineStr">
        <is>
          <t>CATERPILLAR</t>
        </is>
      </c>
      <c r="F134" s="80" t="inlineStr">
        <is>
          <t>CAT D10T</t>
        </is>
      </c>
      <c r="G134" s="81">
        <f>IFERROR(IF(F134=$AB$2,"",VLOOKUP(F134,'DATASHEET EQUIPAMENTOS'!D:N,2,FALSE)),"")</f>
        <v/>
      </c>
      <c r="H134" s="82" t="inlineStr">
        <is>
          <t>2x30lbs</t>
        </is>
      </c>
      <c r="I134" s="57">
        <f>_xlfn.XLOOKUP(Tabela2[[#This Row],[Modelo]],'DATASHEET EQUIPAMENTOS'!D:D,'DATASHEET EQUIPAMENTOS'!P:P,"",0,1)</f>
        <v/>
      </c>
      <c r="J134" s="81">
        <f>IF(F134=$Z$2,"",VLOOKUP(F134,'DATASHEET EQUIPAMENTOS'!D:N,3,FALSE))</f>
        <v/>
      </c>
      <c r="K134" s="85" t="n">
        <v>0</v>
      </c>
      <c r="L134" s="95">
        <f>IF(AZ134="CONFORME","CONFORME ✓","NÃO CONFORME ✗")</f>
        <v/>
      </c>
      <c r="M134" s="102">
        <f>IF(F134=$Z$2,"",VLOOKUP(F134,'DATASHEET EQUIPAMENTOS'!D:N,4,FALSE))</f>
        <v/>
      </c>
      <c r="N134" s="108" t="n">
        <v>4</v>
      </c>
      <c r="O134" s="102">
        <f>IF(F134=$Z$2,"",VLOOKUP(F134,'DATASHEET EQUIPAMENTOS'!D:N,5,FALSE))</f>
        <v/>
      </c>
      <c r="P134" s="103" t="n">
        <v>2</v>
      </c>
      <c r="Q134" s="102">
        <f>IF(F134=$Z$2,"",VLOOKUP(F134,'DATASHEET EQUIPAMENTOS'!D:N,6,FALSE))</f>
        <v/>
      </c>
      <c r="R134" s="104" t="n">
        <v>0</v>
      </c>
      <c r="S134" s="95">
        <f>IF(Tabela2[[#This Row],[Instalado Sensor Motor]]="Linear","CONFORME ✓",IF(SUM(M134,O134,Q134)&lt;SUM(N134,P134,R134),"CONFORME ✓",IF(SUM(M134,O134,Q134)=SUM(N134,P134,R134),"CONFORME ✓","NÃO CONFORME ✗")))</f>
        <v/>
      </c>
      <c r="T134" s="91">
        <f>IF(F134=$Z$2,"",VLOOKUP(F134,'DATASHEET EQUIPAMENTOS'!D:N,7,FALSE))</f>
        <v/>
      </c>
      <c r="U134" s="57" t="n">
        <v>6</v>
      </c>
      <c r="V134" s="56">
        <f>IF(F134=$Z$2,"",VLOOKUP(F134,'DATASHEET EQUIPAMENTOS'!D:N,8,FALSE))</f>
        <v/>
      </c>
      <c r="W134" s="57" t="n">
        <v>6</v>
      </c>
      <c r="X134" s="56">
        <f>IF(F134=$Z$2,"",VLOOKUP(F134,'DATASHEET EQUIPAMENTOS'!D:N,9,FALSE))</f>
        <v/>
      </c>
      <c r="Y134" s="57" t="n">
        <v>0</v>
      </c>
      <c r="Z134" s="57">
        <f>IF(SUM(T134,V134,X134)&lt;=SUM(U134,W134,Y134),"CONFORME ✓",IF(SUM(T134,V134,X134)&gt;SUM(U134,W134,Y134),"NÃO CONFORME ✗"))</f>
        <v/>
      </c>
      <c r="AA134" s="56">
        <f>IF(F134=$Z$2,"",VLOOKUP(F134,'DATASHEET EQUIPAMENTOS'!D:N,10,FALSE))</f>
        <v/>
      </c>
      <c r="AB134" s="57" t="n">
        <v>0</v>
      </c>
      <c r="AC134" s="56">
        <f>IF(F134=$Z$2,"",VLOOKUP(F134,'DATASHEET EQUIPAMENTOS'!D:N,11,FALSE))</f>
        <v/>
      </c>
      <c r="AD134" s="57" t="n">
        <v>0</v>
      </c>
      <c r="AE134" s="56">
        <f>IF(F134=$Z$2,"",VLOOKUP(F134,'DATASHEET EQUIPAMENTOS'!D:O,12,FALSE))</f>
        <v/>
      </c>
      <c r="AF134" s="57" t="n">
        <v>0</v>
      </c>
      <c r="AG134" s="57">
        <f>IF(SUM(AA134,AC134,AE134)&lt;=SUM(AB134,AD134,AF134),"CONFORME ✓",IF(SUM(AA134,AC134,AE134)&gt;SUM(AB134,AD134,AF134),"NÃO CONFORME ✗"))</f>
        <v/>
      </c>
      <c r="AH134" s="72" t="n">
        <v>4</v>
      </c>
      <c r="AI134" s="72" t="n">
        <v>4.5</v>
      </c>
      <c r="AJ134" s="72" t="n">
        <v>5</v>
      </c>
      <c r="AK134" s="7" t="inlineStr">
        <is>
          <t>NÃO TEM TANQUE DE AGENTE LÍQUIDO, REALIZAR PEQUENAS ADEQUAÇÕES NAS FIXAÇÕES DOS CABEAMENTOS</t>
        </is>
      </c>
      <c r="AL134" s="58">
        <f>IFERROR(CALCULOS!H129,"NECESSÁRIO REVISAR DATASHEET")</f>
        <v/>
      </c>
      <c r="AM13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4" s="64">
        <f>SUM(Tabela2[[#This Row],[Nota de Prioridade Quantitativa(NOTAS: 1 PIOR NOTA; 5 MELHOR NOTA)]],Tabela2[[#This Row],[Nota de Prioridade Qualitativa(NOTAS: 1 PIOR NOTA;  5 MELHOR NOTA)]])</f>
        <v/>
      </c>
      <c r="AO134" s="7" t="n">
        <v>149532</v>
      </c>
      <c r="AP134" s="64">
        <f>SUM(Tabela2[[#This Row],[Nota de Prioridade Quantitativa(NOTAS: 1 PIOR NOTA; 5 MELHOR NOTA)]],Tabela2[[#This Row],[Nota de Prioridade Qualitativa(NOTAS: 1 PIOR NOTA;  5 MELHOR NOTA)]])</f>
        <v/>
      </c>
      <c r="AQ134" s="7" t="n"/>
      <c r="AR134" s="64">
        <f>SUM(Tabela2[[#This Row],[Nota de Prioridade Quantitativa(NOTAS: 1 PIOR NOTA; 5 MELHOR NOTA)]],Tabela2[[#This Row],[Nota de Prioridade Qualitativa(NOTAS: 1 PIOR NOTA;  5 MELHOR NOTA)]])</f>
        <v/>
      </c>
      <c r="AS134" s="7" t="n"/>
      <c r="AZ134" s="20">
        <f t="array" ref="AZ134">StatusCarga(G134,H134,J134,K134)</f>
        <v/>
      </c>
      <c r="BA134" s="20">
        <f>IF(AZ134="CONFORME","CONFORME ✓","NÃO CONFORME ✗")</f>
        <v/>
      </c>
      <c r="BB134" t="n">
        <v>0</v>
      </c>
      <c r="BC134" t="n">
        <v>60</v>
      </c>
      <c r="BD134" t="n">
        <v>0</v>
      </c>
      <c r="BE134" t="n">
        <v>0</v>
      </c>
      <c r="BF134" t="inlineStr">
        <is>
          <t>CONFORME</t>
        </is>
      </c>
    </row>
    <row r="135" hidden="1" ht="21.75" customHeight="1" thickBot="1">
      <c r="A135" s="77" t="inlineStr">
        <is>
          <t>Paraoupeba</t>
        </is>
      </c>
      <c r="B135" s="77" t="inlineStr">
        <is>
          <t>Viga</t>
        </is>
      </c>
      <c r="C135" s="80" t="inlineStr">
        <is>
          <t>PM4361</t>
        </is>
      </c>
      <c r="D135" s="80" t="inlineStr">
        <is>
          <t>AFEX</t>
        </is>
      </c>
      <c r="E135" s="78" t="inlineStr">
        <is>
          <t>CATERPILLAR</t>
        </is>
      </c>
      <c r="F135" s="80" t="inlineStr">
        <is>
          <t>cat 980L</t>
        </is>
      </c>
      <c r="G135" s="81">
        <f>IFERROR(IF(F135=$AB$2,"",VLOOKUP(F135,'DATASHEET EQUIPAMENTOS'!D:N,2,FALSE)),"")</f>
        <v/>
      </c>
      <c r="H135" s="82" t="inlineStr">
        <is>
          <t>1x60lbs</t>
        </is>
      </c>
      <c r="I135" s="57">
        <f>_xlfn.XLOOKUP(Tabela2[[#This Row],[Modelo]],'DATASHEET EQUIPAMENTOS'!D:D,'DATASHEET EQUIPAMENTOS'!P:P,"",0,1)</f>
        <v/>
      </c>
      <c r="J135" s="81">
        <f>IF(F135=$Z$2,"",VLOOKUP(F135,'DATASHEET EQUIPAMENTOS'!D:N,3,FALSE))</f>
        <v/>
      </c>
      <c r="K135" s="85" t="n">
        <v>0</v>
      </c>
      <c r="L135" s="95">
        <f>IF(AZ135="CONFORME","CONFORME ✓","NÃO CONFORME ✗")</f>
        <v/>
      </c>
      <c r="M135" s="102">
        <f>IF(F135=$Z$2,"",VLOOKUP(F135,'DATASHEET EQUIPAMENTOS'!D:N,4,FALSE))</f>
        <v/>
      </c>
      <c r="N135" s="108" t="n">
        <v>3</v>
      </c>
      <c r="O135" s="102">
        <f>IF(F135=$Z$2,"",VLOOKUP(F135,'DATASHEET EQUIPAMENTOS'!D:N,5,FALSE))</f>
        <v/>
      </c>
      <c r="P135" s="103" t="n">
        <v>1</v>
      </c>
      <c r="Q135" s="102">
        <f>IF(F135=$Z$2,"",VLOOKUP(F135,'DATASHEET EQUIPAMENTOS'!D:N,6,FALSE))</f>
        <v/>
      </c>
      <c r="R135" s="104" t="n">
        <v>1</v>
      </c>
      <c r="S135" s="95">
        <f>IF(Tabela2[[#This Row],[Instalado Sensor Motor]]="Linear","CONFORME ✓",IF(SUM(M135,O135,Q135)&lt;SUM(N135,P135,R135),"CONFORME ✓",IF(SUM(M135,O135,Q135)=SUM(N135,P135,R135),"CONFORME ✓","NÃO CONFORME ✗")))</f>
        <v/>
      </c>
      <c r="T135" s="91">
        <f>IF(F135=$Z$2,"",VLOOKUP(F135,'DATASHEET EQUIPAMENTOS'!D:N,7,FALSE))</f>
        <v/>
      </c>
      <c r="U135" s="57" t="n">
        <v>6</v>
      </c>
      <c r="V135" s="56">
        <f>IF(F135=$Z$2,"",VLOOKUP(F135,'DATASHEET EQUIPAMENTOS'!D:N,8,FALSE))</f>
        <v/>
      </c>
      <c r="W135" s="57" t="n">
        <v>6</v>
      </c>
      <c r="X135" s="56">
        <f>IF(F135=$Z$2,"",VLOOKUP(F135,'DATASHEET EQUIPAMENTOS'!D:N,9,FALSE))</f>
        <v/>
      </c>
      <c r="Y135" s="57" t="n"/>
      <c r="Z135" s="57">
        <f>IF(SUM(T135,V135,X135)&lt;=SUM(U135,W135,Y135),"CONFORME ✓",IF(SUM(T135,V135,X135)&gt;SUM(U135,W135,Y135),"NÃO CONFORME ✗"))</f>
        <v/>
      </c>
      <c r="AA135" s="56">
        <f>IF(F135=$Z$2,"",VLOOKUP(F135,'DATASHEET EQUIPAMENTOS'!D:N,10,FALSE))</f>
        <v/>
      </c>
      <c r="AB135" s="57" t="n"/>
      <c r="AC135" s="56">
        <f>IF(F135=$Z$2,"",VLOOKUP(F135,'DATASHEET EQUIPAMENTOS'!D:N,11,FALSE))</f>
        <v/>
      </c>
      <c r="AD135" s="57" t="n"/>
      <c r="AE135" s="56">
        <f>IF(F135=$Z$2,"",VLOOKUP(F135,'DATASHEET EQUIPAMENTOS'!D:O,12,FALSE))</f>
        <v/>
      </c>
      <c r="AF135" s="57" t="n"/>
      <c r="AG135" s="57">
        <f>IF(SUM(AA135,AC135,AE135)&lt;=SUM(AB135,AD135,AF135),"CONFORME ✓",IF(SUM(AA135,AC135,AE135)&gt;SUM(AB135,AD135,AF135),"NÃO CONFORME ✗"))</f>
        <v/>
      </c>
      <c r="AH135" s="72" t="n"/>
      <c r="AI135" s="72" t="n"/>
      <c r="AJ135" s="72" t="n"/>
      <c r="AK135" s="7" t="inlineStr">
        <is>
          <t>SEM MANUAL DE INSTALAÇÃO DO SISTEMA NESSE MODRLO DE EQUIPAMENTO CAT980L</t>
        </is>
      </c>
      <c r="AL135" s="58">
        <f>IFERROR(CALCULOS!H130,"NECESSÁRIO REVISAR DATASHEET")</f>
        <v/>
      </c>
      <c r="AM13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5" s="64">
        <f>SUM(Tabela2[[#This Row],[Nota de Prioridade Quantitativa(NOTAS: 1 PIOR NOTA; 5 MELHOR NOTA)]],Tabela2[[#This Row],[Nota de Prioridade Qualitativa(NOTAS: 1 PIOR NOTA;  5 MELHOR NOTA)]])</f>
        <v/>
      </c>
      <c r="AO135" s="7" t="n">
        <v>152078</v>
      </c>
      <c r="AP135" s="64">
        <f>SUM(Tabela2[[#This Row],[Nota de Prioridade Quantitativa(NOTAS: 1 PIOR NOTA; 5 MELHOR NOTA)]],Tabela2[[#This Row],[Nota de Prioridade Qualitativa(NOTAS: 1 PIOR NOTA;  5 MELHOR NOTA)]])</f>
        <v/>
      </c>
      <c r="AQ135" s="7" t="n"/>
      <c r="AR135" s="64">
        <f>SUM(Tabela2[[#This Row],[Nota de Prioridade Quantitativa(NOTAS: 1 PIOR NOTA; 5 MELHOR NOTA)]],Tabela2[[#This Row],[Nota de Prioridade Qualitativa(NOTAS: 1 PIOR NOTA;  5 MELHOR NOTA)]])</f>
        <v/>
      </c>
      <c r="AS135" s="7" t="n"/>
      <c r="AZ135" s="20">
        <f t="array" ref="AZ135">StatusCarga(G135,H135,J135,K135)</f>
        <v/>
      </c>
      <c r="BA135" s="20">
        <f>IF(AZ135="CONFORME","CONFORME ✓","NÃO CONFORME ✗")</f>
        <v/>
      </c>
      <c r="BB135" t="n">
        <v>0</v>
      </c>
      <c r="BC135" t="n">
        <v>60</v>
      </c>
      <c r="BD135" t="n">
        <v>0</v>
      </c>
      <c r="BE135" t="n">
        <v>0</v>
      </c>
      <c r="BF135" t="inlineStr">
        <is>
          <t>CONFORME</t>
        </is>
      </c>
    </row>
    <row r="136" hidden="1" ht="21.75" customHeight="1" thickBot="1">
      <c r="A136" s="77" t="inlineStr">
        <is>
          <t>Paraoupeba</t>
        </is>
      </c>
      <c r="B136" s="77" t="inlineStr">
        <is>
          <t>Horizontes</t>
        </is>
      </c>
      <c r="C136" s="80" t="inlineStr">
        <is>
          <t>TE2403</t>
        </is>
      </c>
      <c r="D136" s="80" t="inlineStr">
        <is>
          <t>KIDDE</t>
        </is>
      </c>
      <c r="E136" s="78" t="inlineStr">
        <is>
          <t>CATERPILLAR</t>
        </is>
      </c>
      <c r="F136" s="80" t="inlineStr">
        <is>
          <t>CAT D10T</t>
        </is>
      </c>
      <c r="G136" s="81">
        <f>IFERROR(IF(F136=$AB$2,"",VLOOKUP(F136,'DATASHEET EQUIPAMENTOS'!D:N,2,FALSE)),"")</f>
        <v/>
      </c>
      <c r="H136" s="82" t="inlineStr">
        <is>
          <t>1x50lbs</t>
        </is>
      </c>
      <c r="I136" s="57">
        <f>_xlfn.XLOOKUP(Tabela2[[#This Row],[Modelo]],'DATASHEET EQUIPAMENTOS'!D:D,'DATASHEET EQUIPAMENTOS'!P:P,"",0,1)</f>
        <v/>
      </c>
      <c r="J136" s="81">
        <f>IF(F136=$Z$2,"",VLOOKUP(F136,'DATASHEET EQUIPAMENTOS'!D:N,3,FALSE))</f>
        <v/>
      </c>
      <c r="K136" s="85" t="n">
        <v>0</v>
      </c>
      <c r="L136" s="95">
        <f>IF(AZ136="CONFORME","CONFORME ✓","NÃO CONFORME ✗")</f>
        <v/>
      </c>
      <c r="M136" s="102">
        <f>IF(F136=$Z$2,"",VLOOKUP(F136,'DATASHEET EQUIPAMENTOS'!D:N,4,FALSE))</f>
        <v/>
      </c>
      <c r="N136" s="108" t="inlineStr">
        <is>
          <t>Linear</t>
        </is>
      </c>
      <c r="O136" s="102">
        <f>IF(F136=$Z$2,"",VLOOKUP(F136,'DATASHEET EQUIPAMENTOS'!D:N,5,FALSE))</f>
        <v/>
      </c>
      <c r="P136" s="103" t="inlineStr">
        <is>
          <t>Linear</t>
        </is>
      </c>
      <c r="Q136" s="102">
        <f>IF(F136=$Z$2,"",VLOOKUP(F136,'DATASHEET EQUIPAMENTOS'!D:N,6,FALSE))</f>
        <v/>
      </c>
      <c r="R136" s="104" t="inlineStr">
        <is>
          <t>Linear</t>
        </is>
      </c>
      <c r="S136" s="95">
        <f>IF(Tabela2[[#This Row],[Instalado Sensor Motor]]="Linear","CONFORME ✓",IF(SUM(M136,O136,Q136)&lt;SUM(N136,P136,R136),"CONFORME ✓",IF(SUM(M136,O136,Q136)=SUM(N136,P136,R136),"CONFORME ✓","NÃO CONFORME ✗")))</f>
        <v/>
      </c>
      <c r="T136" s="91">
        <f>IF(F136=$Z$2,"",VLOOKUP(F136,'DATASHEET EQUIPAMENTOS'!D:N,7,FALSE))</f>
        <v/>
      </c>
      <c r="U136" s="57" t="n">
        <v>6</v>
      </c>
      <c r="V136" s="56">
        <f>IF(F136=$Z$2,"",VLOOKUP(F136,'DATASHEET EQUIPAMENTOS'!D:N,8,FALSE))</f>
        <v/>
      </c>
      <c r="W136" s="62" t="n">
        <v>2</v>
      </c>
      <c r="X136" s="56">
        <f>IF(F136=$Z$2,"",VLOOKUP(F136,'DATASHEET EQUIPAMENTOS'!D:N,9,FALSE))</f>
        <v/>
      </c>
      <c r="Y136" s="57" t="n">
        <v>0</v>
      </c>
      <c r="Z136" s="57">
        <f>IF(SUM(T136,V136,X136)&lt;=SUM(U136,W136,Y136),"CONFORME ✓",IF(SUM(T136,V136,X136)&gt;SUM(U136,W136,Y136),"NÃO CONFORME ✗"))</f>
        <v/>
      </c>
      <c r="AA136" s="56">
        <f>IF(F136=$Z$2,"",VLOOKUP(F136,'DATASHEET EQUIPAMENTOS'!D:N,10,FALSE))</f>
        <v/>
      </c>
      <c r="AB136" s="57" t="n">
        <v>0</v>
      </c>
      <c r="AC136" s="56">
        <f>IF(F136=$Z$2,"",VLOOKUP(F136,'DATASHEET EQUIPAMENTOS'!D:N,11,FALSE))</f>
        <v/>
      </c>
      <c r="AD136" s="57" t="n">
        <v>0</v>
      </c>
      <c r="AE136" s="56">
        <f>IF(F136=$Z$2,"",VLOOKUP(F136,'DATASHEET EQUIPAMENTOS'!D:O,12,FALSE))</f>
        <v/>
      </c>
      <c r="AF136" s="57" t="n">
        <v>0</v>
      </c>
      <c r="AG136" s="57">
        <f>IF(SUM(AA136,AC136,AE136)&lt;=SUM(AB136,AD136,AF136),"CONFORME ✓",IF(SUM(AA136,AC136,AE136)&gt;SUM(AB136,AD136,AF136),"NÃO CONFORME ✗"))</f>
        <v/>
      </c>
      <c r="AH136" s="72" t="n">
        <v>2</v>
      </c>
      <c r="AI136" s="72" t="n">
        <v>4</v>
      </c>
      <c r="AJ136" s="72" t="n">
        <v>5</v>
      </c>
      <c r="AK136" s="7" t="inlineStr">
        <is>
          <t>NAO POSSUI CILINDRO DE LÍQUIDO; FAZER NOVA ROTA DE CABEAMENTO COM FIXAÇÕES ADEQUADAS, REDUZIR O TAMANHO DA MANGUEIRA DO ATUADOR DA CABINE</t>
        </is>
      </c>
      <c r="AL136" s="58">
        <f>IFERROR(CALCULOS!H131,"NECESSÁRIO REVISAR DATASHEET")</f>
        <v/>
      </c>
      <c r="AM13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6" s="64">
        <f>SUM(Tabela2[[#This Row],[Nota de Prioridade Quantitativa(NOTAS: 1 PIOR NOTA; 5 MELHOR NOTA)]],Tabela2[[#This Row],[Nota de Prioridade Qualitativa(NOTAS: 1 PIOR NOTA;  5 MELHOR NOTA)]])</f>
        <v/>
      </c>
      <c r="AO136" s="7" t="n">
        <v>149685</v>
      </c>
      <c r="AP136" s="64">
        <f>SUM(Tabela2[[#This Row],[Nota de Prioridade Quantitativa(NOTAS: 1 PIOR NOTA; 5 MELHOR NOTA)]],Tabela2[[#This Row],[Nota de Prioridade Qualitativa(NOTAS: 1 PIOR NOTA;  5 MELHOR NOTA)]])</f>
        <v/>
      </c>
      <c r="AQ136" s="7" t="n"/>
      <c r="AR136" s="64">
        <f>SUM(Tabela2[[#This Row],[Nota de Prioridade Quantitativa(NOTAS: 1 PIOR NOTA; 5 MELHOR NOTA)]],Tabela2[[#This Row],[Nota de Prioridade Qualitativa(NOTAS: 1 PIOR NOTA;  5 MELHOR NOTA)]])</f>
        <v/>
      </c>
      <c r="AS136" s="7" t="inlineStr">
        <is>
          <t>EDITAR RELATORIO</t>
        </is>
      </c>
      <c r="AZ136" s="20">
        <f t="array" ref="AZ136">StatusCarga(G136,H136,J136,K136)</f>
        <v/>
      </c>
      <c r="BA136" s="20">
        <f>IF(AZ136="CONFORME","CONFORME ✓","NÃO CONFORME ✗")</f>
        <v/>
      </c>
      <c r="BB136" t="n">
        <v>0</v>
      </c>
      <c r="BC136" t="n">
        <v>50</v>
      </c>
      <c r="BD136" t="n">
        <v>0</v>
      </c>
      <c r="BE136" t="n">
        <v>0</v>
      </c>
      <c r="BF136" t="inlineStr">
        <is>
          <t>CONFORME</t>
        </is>
      </c>
    </row>
    <row r="137" hidden="1" ht="21.75" customHeight="1" thickBot="1">
      <c r="A137" s="77" t="inlineStr">
        <is>
          <t>VGR</t>
        </is>
      </c>
      <c r="B137" s="77" t="inlineStr">
        <is>
          <t>Aboboras</t>
        </is>
      </c>
      <c r="C137" s="80" t="inlineStr">
        <is>
          <t>CA5486</t>
        </is>
      </c>
      <c r="D137" s="80" t="inlineStr">
        <is>
          <t>AFEX</t>
        </is>
      </c>
      <c r="E137" s="78" t="inlineStr">
        <is>
          <t>CATERPILLAR</t>
        </is>
      </c>
      <c r="F137" s="80" t="inlineStr">
        <is>
          <t>cat 789D</t>
        </is>
      </c>
      <c r="G137" s="81">
        <f>IFERROR(IF(F137=$AB$2,"",VLOOKUP(F137,'DATASHEET EQUIPAMENTOS'!D:N,2,FALSE)),"")</f>
        <v/>
      </c>
      <c r="H137" s="82" t="inlineStr">
        <is>
          <t>4x30lbs</t>
        </is>
      </c>
      <c r="I137" s="57">
        <f>_xlfn.XLOOKUP(Tabela2[[#This Row],[Modelo]],'DATASHEET EQUIPAMENTOS'!D:D,'DATASHEET EQUIPAMENTOS'!P:P,"",0,1)</f>
        <v/>
      </c>
      <c r="J137" s="81">
        <f>IF(F137=$Z$2,"",VLOOKUP(F137,'DATASHEET EQUIPAMENTOS'!D:N,3,FALSE))</f>
        <v/>
      </c>
      <c r="K137" s="85" t="n">
        <v>0</v>
      </c>
      <c r="L137" s="95">
        <f>IF(AZ137="CONFORME","CONFORME ✓","NÃO CONFORME ✗")</f>
        <v/>
      </c>
      <c r="M137" s="102">
        <f>IF(F137=$Z$2,"",VLOOKUP(F137,'DATASHEET EQUIPAMENTOS'!D:N,4,FALSE))</f>
        <v/>
      </c>
      <c r="N137" s="108" t="n">
        <v>6</v>
      </c>
      <c r="O137" s="102">
        <f>IF(F137=$Z$2,"",VLOOKUP(F137,'DATASHEET EQUIPAMENTOS'!D:N,5,FALSE))</f>
        <v/>
      </c>
      <c r="P137" s="103" t="n">
        <v>1</v>
      </c>
      <c r="Q137" s="102">
        <f>IF(F137=$Z$2,"",VLOOKUP(F137,'DATASHEET EQUIPAMENTOS'!D:N,6,FALSE))</f>
        <v/>
      </c>
      <c r="R137" s="104" t="n">
        <v>2</v>
      </c>
      <c r="S137" s="95">
        <f>IF(Tabela2[[#This Row],[Instalado Sensor Motor]]="Linear","CONFORME ✓",IF(SUM(M137,O137,Q137)&lt;SUM(N137,P137,R137),"CONFORME ✓",IF(SUM(M137,O137,Q137)=SUM(N137,P137,R137),"CONFORME ✓","NÃO CONFORME ✗")))</f>
        <v/>
      </c>
      <c r="T137" s="91">
        <f>IF(F137=$Z$2,"",VLOOKUP(F137,'DATASHEET EQUIPAMENTOS'!D:N,7,FALSE))</f>
        <v/>
      </c>
      <c r="U137" s="57" t="n">
        <v>18</v>
      </c>
      <c r="V137" s="56">
        <f>IF(F137=$Z$2,"",VLOOKUP(F137,'DATASHEET EQUIPAMENTOS'!D:N,8,FALSE))</f>
        <v/>
      </c>
      <c r="W137" s="62" t="n">
        <v>3</v>
      </c>
      <c r="X137" s="56">
        <f>IF(F137=$Z$2,"",VLOOKUP(F137,'DATASHEET EQUIPAMENTOS'!D:N,9,FALSE))</f>
        <v/>
      </c>
      <c r="Y137" s="62" t="n">
        <v>3</v>
      </c>
      <c r="Z137" s="57">
        <f>IF(SUM(T137,V137,X137)&lt;=SUM(U137,W137,Y137),"CONFORME ✓",IF(SUM(T137,V137,X137)&gt;SUM(U137,W137,Y137),"NÃO CONFORME ✗"))</f>
        <v/>
      </c>
      <c r="AA137" s="56">
        <f>IF(F137=$Z$2,"",VLOOKUP(F137,'DATASHEET EQUIPAMENTOS'!D:N,10,FALSE))</f>
        <v/>
      </c>
      <c r="AB137" s="57" t="n">
        <v>0</v>
      </c>
      <c r="AC137" s="56">
        <f>IF(F137=$Z$2,"",VLOOKUP(F137,'DATASHEET EQUIPAMENTOS'!D:N,11,FALSE))</f>
        <v/>
      </c>
      <c r="AD137" s="57" t="n">
        <v>0</v>
      </c>
      <c r="AE137" s="56">
        <f>IF(F137=$Z$2,"",VLOOKUP(F137,'DATASHEET EQUIPAMENTOS'!D:O,12,FALSE))</f>
        <v/>
      </c>
      <c r="AF137" s="57" t="n">
        <v>0</v>
      </c>
      <c r="AG137" s="57">
        <f>IF(SUM(AA137,AC137,AE137)&lt;=SUM(AB137,AD137,AF137),"CONFORME ✓",IF(SUM(AA137,AC137,AE137)&gt;SUM(AB137,AD137,AF137),"NÃO CONFORME ✗"))</f>
        <v/>
      </c>
      <c r="AH137" s="72" t="n">
        <v>4</v>
      </c>
      <c r="AI137" s="72" t="n">
        <v>4</v>
      </c>
      <c r="AJ137" s="72" t="n">
        <v>4</v>
      </c>
      <c r="AK137" s="7" t="inlineStr">
        <is>
          <t>REPOSICIONAR PAINEL MONITOR E ACIONADOR INTERNO</t>
        </is>
      </c>
      <c r="AL137" s="58">
        <f>IFERROR(CALCULOS!H132,"NECESSÁRIO REVISAR DATASHEET")</f>
        <v/>
      </c>
      <c r="AM13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7" s="64">
        <f>SUM(Tabela2[[#This Row],[Nota de Prioridade Quantitativa(NOTAS: 1 PIOR NOTA; 5 MELHOR NOTA)]],Tabela2[[#This Row],[Nota de Prioridade Qualitativa(NOTAS: 1 PIOR NOTA;  5 MELHOR NOTA)]])</f>
        <v/>
      </c>
      <c r="AO137" s="7" t="n">
        <v>149103</v>
      </c>
      <c r="AP137" s="64">
        <f>SUM(Tabela2[[#This Row],[Nota de Prioridade Quantitativa(NOTAS: 1 PIOR NOTA; 5 MELHOR NOTA)]],Tabela2[[#This Row],[Nota de Prioridade Qualitativa(NOTAS: 1 PIOR NOTA;  5 MELHOR NOTA)]])</f>
        <v/>
      </c>
      <c r="AQ137" s="7" t="n"/>
      <c r="AR137" s="64">
        <f>SUM(Tabela2[[#This Row],[Nota de Prioridade Quantitativa(NOTAS: 1 PIOR NOTA; 5 MELHOR NOTA)]],Tabela2[[#This Row],[Nota de Prioridade Qualitativa(NOTAS: 1 PIOR NOTA;  5 MELHOR NOTA)]])</f>
        <v/>
      </c>
      <c r="AS137" s="7" t="n"/>
      <c r="AZ137" s="20">
        <f t="array" ref="AZ137">StatusCarga(G137,H137,J137,K137)</f>
        <v/>
      </c>
      <c r="BA137" s="20">
        <f>IF(AZ137="CONFORME","CONFORME ✓","NÃO CONFORME ✗")</f>
        <v/>
      </c>
      <c r="BB137" t="n">
        <v>0</v>
      </c>
      <c r="BC137" t="n">
        <v>120</v>
      </c>
      <c r="BD137" t="n">
        <v>0</v>
      </c>
      <c r="BE137" t="n">
        <v>0</v>
      </c>
      <c r="BF137" t="inlineStr">
        <is>
          <t>CONFORME</t>
        </is>
      </c>
    </row>
    <row r="138" hidden="1" ht="21.75" customHeight="1" thickBot="1">
      <c r="A138" s="77" t="inlineStr">
        <is>
          <t>Paraoupeba</t>
        </is>
      </c>
      <c r="B138" s="77" t="inlineStr">
        <is>
          <t>Horizontes</t>
        </is>
      </c>
      <c r="C138" s="80" t="inlineStr">
        <is>
          <t>MN1158</t>
        </is>
      </c>
      <c r="D138" s="80" t="inlineStr">
        <is>
          <t>AFEX</t>
        </is>
      </c>
      <c r="E138" s="78" t="inlineStr">
        <is>
          <t>CATERPILLAR</t>
        </is>
      </c>
      <c r="F138" s="80" t="inlineStr">
        <is>
          <t>CAT 16M</t>
        </is>
      </c>
      <c r="G138" s="81">
        <f>IFERROR(IF(F138=$AB$2,"",VLOOKUP(F138,'DATASHEET EQUIPAMENTOS'!D:N,2,FALSE)),"")</f>
        <v/>
      </c>
      <c r="H138" s="82" t="inlineStr">
        <is>
          <t>1X60lbs</t>
        </is>
      </c>
      <c r="I138" s="57">
        <f>_xlfn.XLOOKUP(Tabela2[[#This Row],[Modelo]],'DATASHEET EQUIPAMENTOS'!D:D,'DATASHEET EQUIPAMENTOS'!P:P,"",0,1)</f>
        <v/>
      </c>
      <c r="J138" s="81">
        <f>IF(F138=$Z$2,"",VLOOKUP(F138,'DATASHEET EQUIPAMENTOS'!D:N,3,FALSE))</f>
        <v/>
      </c>
      <c r="K138" s="85" t="n">
        <v>0</v>
      </c>
      <c r="L138" s="95">
        <f>IF(AZ138="CONFORME","CONFORME ✓","NÃO CONFORME ✗")</f>
        <v/>
      </c>
      <c r="M138" s="119">
        <f>IF(F138=$Z$2,"",VLOOKUP(F138,'DATASHEET EQUIPAMENTOS'!D:N,4,FALSE))</f>
        <v/>
      </c>
      <c r="N138" s="99" t="n">
        <v>3</v>
      </c>
      <c r="O138" s="97">
        <f>IF(F138=$Z$2,"",VLOOKUP(F138,'DATASHEET EQUIPAMENTOS'!D:N,5,FALSE))</f>
        <v/>
      </c>
      <c r="P138" s="99" t="n">
        <v>1</v>
      </c>
      <c r="Q138" s="97">
        <f>IF(F138=$Z$2,"",VLOOKUP(F138,'DATASHEET EQUIPAMENTOS'!D:N,6,FALSE))</f>
        <v/>
      </c>
      <c r="R138" s="99" t="n">
        <v>1</v>
      </c>
      <c r="S138" s="100">
        <f>IF(Tabela2[[#This Row],[Instalado Sensor Motor]]="Linear","CONFORME ✓",IF(SUM(M138,O138,Q138)&lt;SUM(N138,P138,R138),"CONFORME ✓",IF(SUM(M138,O138,Q138)=SUM(N138,P138,R138),"CONFORME ✓","NÃO CONFORME ✗")))</f>
        <v/>
      </c>
      <c r="T138" s="91">
        <f>IF(F138=$Z$2,"",VLOOKUP(F138,'DATASHEET EQUIPAMENTOS'!D:N,7,FALSE))</f>
        <v/>
      </c>
      <c r="U138" s="62" t="n">
        <v>6</v>
      </c>
      <c r="V138" s="56">
        <f>IF(F138=$Z$2,"",VLOOKUP(F138,'DATASHEET EQUIPAMENTOS'!D:N,8,FALSE))</f>
        <v/>
      </c>
      <c r="W138" s="62" t="n">
        <v>3</v>
      </c>
      <c r="X138" s="56">
        <f>IF(F138=$Z$2,"",VLOOKUP(F138,'DATASHEET EQUIPAMENTOS'!D:N,9,FALSE))</f>
        <v/>
      </c>
      <c r="Y138" s="62" t="n">
        <v>3</v>
      </c>
      <c r="Z138" s="57">
        <f>IF(SUM(T138,V138,X138)&lt;=SUM(U138,W138,Y138),"CONFORME ✓",IF(SUM(T138,V138,X138)&gt;SUM(U138,W138,Y138),"NÃO CONFORME ✗"))</f>
        <v/>
      </c>
      <c r="AA138" s="56">
        <f>IF(F138=$Z$2,"",VLOOKUP(F138,'DATASHEET EQUIPAMENTOS'!D:N,10,FALSE))</f>
        <v/>
      </c>
      <c r="AB138" s="57" t="n">
        <v>0</v>
      </c>
      <c r="AC138" s="56">
        <f>IF(F138=$Z$2,"",VLOOKUP(F138,'DATASHEET EQUIPAMENTOS'!D:N,11,FALSE))</f>
        <v/>
      </c>
      <c r="AD138" s="57" t="n">
        <v>0</v>
      </c>
      <c r="AE138" s="56">
        <f>IF(F138=$Z$2,"",VLOOKUP(F138,'DATASHEET EQUIPAMENTOS'!D:O,12,FALSE))</f>
        <v/>
      </c>
      <c r="AF138" s="57" t="n">
        <v>0</v>
      </c>
      <c r="AG138" s="57">
        <f>IF(SUM(AA138,AC138,AE138)&lt;=SUM(AB138,AD138,AF138),"CONFORME ✓",IF(SUM(AA138,AC138,AE138)&gt;SUM(AB138,AD138,AF138),"NÃO CONFORME ✗"))</f>
        <v/>
      </c>
      <c r="AH138" s="72" t="n">
        <v>3</v>
      </c>
      <c r="AI138" s="72" t="n">
        <v>3</v>
      </c>
      <c r="AJ138" s="72" t="n">
        <v>5</v>
      </c>
      <c r="AK138" s="7" t="inlineStr">
        <is>
          <t>REALIZAR REPOSICIONAMENTO DE MANGUEIRAS E BICOS PQS</t>
        </is>
      </c>
      <c r="AL138" s="58">
        <f>IFERROR(CALCULOS!H133,"NECESSÁRIO REVISAR DATASHEET")</f>
        <v/>
      </c>
      <c r="AM13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8" s="64">
        <f>SUM(Tabela2[[#This Row],[Nota de Prioridade Quantitativa(NOTAS: 1 PIOR NOTA; 5 MELHOR NOTA)]],Tabela2[[#This Row],[Nota de Prioridade Qualitativa(NOTAS: 1 PIOR NOTA;  5 MELHOR NOTA)]])</f>
        <v/>
      </c>
      <c r="AO138" s="7" t="n">
        <v>151377</v>
      </c>
      <c r="AP138" s="64">
        <f>SUM(Tabela2[[#This Row],[Nota de Prioridade Quantitativa(NOTAS: 1 PIOR NOTA; 5 MELHOR NOTA)]],Tabela2[[#This Row],[Nota de Prioridade Qualitativa(NOTAS: 1 PIOR NOTA;  5 MELHOR NOTA)]])</f>
        <v/>
      </c>
      <c r="AQ138" s="7" t="n"/>
      <c r="AR138" s="64">
        <f>SUM(Tabela2[[#This Row],[Nota de Prioridade Quantitativa(NOTAS: 1 PIOR NOTA; 5 MELHOR NOTA)]],Tabela2[[#This Row],[Nota de Prioridade Qualitativa(NOTAS: 1 PIOR NOTA;  5 MELHOR NOTA)]])</f>
        <v/>
      </c>
      <c r="AS138" s="7" t="n"/>
      <c r="AZ138" s="20">
        <f t="array" ref="AZ138">StatusCarga(G138,H138,J138,K138)</f>
        <v/>
      </c>
      <c r="BA138" s="20">
        <f>IF(AZ138="CONFORME","CONFORME ✓","NÃO CONFORME ✗")</f>
        <v/>
      </c>
      <c r="BB138" t="n">
        <v>0</v>
      </c>
      <c r="BC138" t="n">
        <v>0</v>
      </c>
      <c r="BD138" t="n">
        <v>0</v>
      </c>
      <c r="BE138" t="n">
        <v>0</v>
      </c>
      <c r="BF138" t="inlineStr">
        <is>
          <t>CONFORME</t>
        </is>
      </c>
    </row>
    <row r="139" hidden="1" ht="21.75" customHeight="1" thickBot="1">
      <c r="A139" s="77" t="inlineStr">
        <is>
          <t>Mariana</t>
        </is>
      </c>
      <c r="B139" s="77" t="inlineStr">
        <is>
          <t>Fazendão</t>
        </is>
      </c>
      <c r="C139" s="80" t="inlineStr">
        <is>
          <t>PF1134</t>
        </is>
      </c>
      <c r="D139" s="80" t="inlineStr">
        <is>
          <t>AFEX</t>
        </is>
      </c>
      <c r="E139" s="78" t="inlineStr">
        <is>
          <t>CATERPILLAR</t>
        </is>
      </c>
      <c r="F139" s="80" t="inlineStr">
        <is>
          <t>CAT MD6250</t>
        </is>
      </c>
      <c r="G139" s="81">
        <f>IFERROR(IF(F139=$AB$2,"",VLOOKUP(F139,'DATASHEET EQUIPAMENTOS'!D:N,2,FALSE)),"")</f>
        <v/>
      </c>
      <c r="H139" s="82" t="inlineStr">
        <is>
          <t>1x125lbs</t>
        </is>
      </c>
      <c r="I139" s="57">
        <f>_xlfn.XLOOKUP(Tabela2[[#This Row],[Modelo]],'DATASHEET EQUIPAMENTOS'!D:D,'DATASHEET EQUIPAMENTOS'!P:P,"",0,1)</f>
        <v/>
      </c>
      <c r="J139" s="81">
        <f>IF(F139=$Z$2,"",VLOOKUP(F139,'DATASHEET EQUIPAMENTOS'!D:N,3,FALSE))</f>
        <v/>
      </c>
      <c r="K139" s="85" t="inlineStr">
        <is>
          <t>1x15gal</t>
        </is>
      </c>
      <c r="L139" s="95">
        <f>IF(AZ139="CONFORME","CONFORME ✓","NÃO CONFORME ✗")</f>
        <v/>
      </c>
      <c r="M139" s="102">
        <f>IF(F139=$Z$2,"",VLOOKUP(F139,'DATASHEET EQUIPAMENTOS'!D:N,4,FALSE))</f>
        <v/>
      </c>
      <c r="N139" s="108" t="inlineStr">
        <is>
          <t>Linear</t>
        </is>
      </c>
      <c r="O139" s="102">
        <f>IF(F139=$Z$2,"",VLOOKUP(F139,'DATASHEET EQUIPAMENTOS'!D:N,5,FALSE))</f>
        <v/>
      </c>
      <c r="P139" s="103" t="n"/>
      <c r="Q139" s="102">
        <f>IF(F139=$Z$2,"",VLOOKUP(F139,'DATASHEET EQUIPAMENTOS'!D:N,6,FALSE))</f>
        <v/>
      </c>
      <c r="R139" s="104" t="n"/>
      <c r="S139" s="95">
        <f>IF(Tabela2[[#This Row],[Instalado Sensor Motor]]="Linear","CONFORME ✓",IF(SUM(M139,O139,Q139)&lt;SUM(N139,P139,R139),"CONFORME ✓",IF(SUM(M139,O139,Q139)=SUM(N139,P139,R139),"CONFORME ✓","NÃO CONFORME ✗")))</f>
        <v/>
      </c>
      <c r="T139" s="91">
        <f>IF(F139=$Z$2,"",VLOOKUP(F139,'DATASHEET EQUIPAMENTOS'!D:N,7,FALSE))</f>
        <v/>
      </c>
      <c r="U139" s="57" t="n">
        <v>12</v>
      </c>
      <c r="V139" s="56">
        <f>IF(F139=$Z$2,"",VLOOKUP(F139,'DATASHEET EQUIPAMENTOS'!D:N,8,FALSE))</f>
        <v/>
      </c>
      <c r="W139" s="57" t="n"/>
      <c r="X139" s="56">
        <f>IF(F139=$Z$2,"",VLOOKUP(F139,'DATASHEET EQUIPAMENTOS'!D:N,9,FALSE))</f>
        <v/>
      </c>
      <c r="Y139" s="57" t="n">
        <v>6</v>
      </c>
      <c r="Z139" s="57">
        <f>IF(SUM(T139,V139,X139)&lt;=SUM(U139,W139,Y139),"CONFORME ✓",IF(SUM(T139,V139,X139)&gt;SUM(U139,W139,Y139),"NÃO CONFORME ✗"))</f>
        <v/>
      </c>
      <c r="AA139" s="56">
        <f>IF(F139=$Z$2,"",VLOOKUP(F139,'DATASHEET EQUIPAMENTOS'!D:N,10,FALSE))</f>
        <v/>
      </c>
      <c r="AB139" s="57" t="n">
        <v>6</v>
      </c>
      <c r="AC139" s="56">
        <f>IF(F139=$Z$2,"",VLOOKUP(F139,'DATASHEET EQUIPAMENTOS'!D:N,11,FALSE))</f>
        <v/>
      </c>
      <c r="AD139" s="57" t="n"/>
      <c r="AE139" s="56">
        <f>IF(F139=$Z$2,"",VLOOKUP(F139,'DATASHEET EQUIPAMENTOS'!D:O,12,FALSE))</f>
        <v/>
      </c>
      <c r="AF139" s="57" t="n">
        <v>3</v>
      </c>
      <c r="AG139" s="57">
        <f>IF(SUM(AA139,AC139,AE139)&lt;=SUM(AB139,AD139,AF139),"CONFORME ✓",IF(SUM(AA139,AC139,AE139)&gt;SUM(AB139,AD139,AF139),"NÃO CONFORME ✗"))</f>
        <v/>
      </c>
      <c r="AH139" s="72" t="n"/>
      <c r="AI139" s="72" t="n"/>
      <c r="AJ139" s="72" t="n"/>
      <c r="AK139" s="7" t="inlineStr">
        <is>
          <t>SISTEMA NÃO POSSUÍ SENSORES,APENAS CABI LINEAR.SISTEMA RECÉM INSTALADO E MANGUEIRAS E CABO ESTÃO BEM FIXADOS.</t>
        </is>
      </c>
      <c r="AL139" s="58">
        <f>IFERROR(CALCULOS!H134,"NECESSÁRIO REVISAR DATASHEET")</f>
        <v/>
      </c>
      <c r="AM13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39" s="64">
        <f>SUM(Tabela2[[#This Row],[Nota de Prioridade Quantitativa(NOTAS: 1 PIOR NOTA; 5 MELHOR NOTA)]],Tabela2[[#This Row],[Nota de Prioridade Qualitativa(NOTAS: 1 PIOR NOTA;  5 MELHOR NOTA)]])</f>
        <v/>
      </c>
      <c r="AO139" s="7" t="n">
        <v>150816</v>
      </c>
      <c r="AP139" s="64">
        <f>SUM(Tabela2[[#This Row],[Nota de Prioridade Quantitativa(NOTAS: 1 PIOR NOTA; 5 MELHOR NOTA)]],Tabela2[[#This Row],[Nota de Prioridade Qualitativa(NOTAS: 1 PIOR NOTA;  5 MELHOR NOTA)]])</f>
        <v/>
      </c>
      <c r="AQ139" s="7" t="n"/>
      <c r="AR139" s="64">
        <f>SUM(Tabela2[[#This Row],[Nota de Prioridade Quantitativa(NOTAS: 1 PIOR NOTA; 5 MELHOR NOTA)]],Tabela2[[#This Row],[Nota de Prioridade Qualitativa(NOTAS: 1 PIOR NOTA;  5 MELHOR NOTA)]])</f>
        <v/>
      </c>
      <c r="AS139" s="7" t="n"/>
      <c r="AZ139" s="20">
        <f t="array" ref="AZ139">StatusCarga(G139,H139,J139,K139)</f>
        <v/>
      </c>
      <c r="BA139" s="20">
        <f>IF(AZ139="CONFORME","CONFORME ✓","NÃO CONFORME ✗")</f>
        <v/>
      </c>
      <c r="BB139" t="n">
        <v>0</v>
      </c>
      <c r="BC139" t="n">
        <v>125</v>
      </c>
      <c r="BD139" t="n">
        <v>0</v>
      </c>
      <c r="BE139" t="n">
        <v>15</v>
      </c>
      <c r="BF139" t="inlineStr">
        <is>
          <t>CONFORME</t>
        </is>
      </c>
    </row>
    <row r="140" hidden="1" ht="21.75" customHeight="1" thickBot="1">
      <c r="A140" s="77" t="inlineStr">
        <is>
          <t>Mariana</t>
        </is>
      </c>
      <c r="B140" s="77" t="inlineStr">
        <is>
          <t>Fazendão</t>
        </is>
      </c>
      <c r="C140" s="80" t="inlineStr">
        <is>
          <t>PM6525</t>
        </is>
      </c>
      <c r="D140" s="80" t="inlineStr">
        <is>
          <t>AFEX</t>
        </is>
      </c>
      <c r="E140" s="78" t="inlineStr">
        <is>
          <t>CATERPILLAR</t>
        </is>
      </c>
      <c r="F140" s="80" t="inlineStr">
        <is>
          <t>CAT 990K</t>
        </is>
      </c>
      <c r="G140" s="81">
        <f>IFERROR(IF(F140=$AB$2,"",VLOOKUP(F140,'DATASHEET EQUIPAMENTOS'!D:N,2,FALSE)),"")</f>
        <v/>
      </c>
      <c r="H140" s="82" t="inlineStr">
        <is>
          <t>3x30lbs</t>
        </is>
      </c>
      <c r="I140" s="57">
        <f>_xlfn.XLOOKUP(Tabela2[[#This Row],[Modelo]],'DATASHEET EQUIPAMENTOS'!D:D,'DATASHEET EQUIPAMENTOS'!P:P,"",0,1)</f>
        <v/>
      </c>
      <c r="J140" s="81">
        <f>IF(F140=$Z$2,"",VLOOKUP(F140,'DATASHEET EQUIPAMENTOS'!D:N,3,FALSE))</f>
        <v/>
      </c>
      <c r="K140" s="85" t="inlineStr">
        <is>
          <t>1x15gal</t>
        </is>
      </c>
      <c r="L140" s="95">
        <f>IF(AZ140="CONFORME","CONFORME ✓","NÃO CONFORME ✗")</f>
        <v/>
      </c>
      <c r="M140" s="102">
        <f>IF(F140=$Z$2,"",VLOOKUP(F140,'DATASHEET EQUIPAMENTOS'!D:N,4,FALSE))</f>
        <v/>
      </c>
      <c r="N140" s="108" t="n">
        <v>4</v>
      </c>
      <c r="O140" s="102">
        <f>IF(F140=$Z$2,"",VLOOKUP(F140,'DATASHEET EQUIPAMENTOS'!D:N,5,FALSE))</f>
        <v/>
      </c>
      <c r="P140" s="103" t="n">
        <v>2</v>
      </c>
      <c r="Q140" s="102">
        <f>IF(F140=$Z$2,"",VLOOKUP(F140,'DATASHEET EQUIPAMENTOS'!D:N,6,FALSE))</f>
        <v/>
      </c>
      <c r="R140" s="104" t="n">
        <v>2</v>
      </c>
      <c r="S140" s="95">
        <f>IF(Tabela2[[#This Row],[Instalado Sensor Motor]]="Linear","CONFORME ✓",IF(SUM(M140,O140,Q140)&lt;SUM(N140,P140,R140),"CONFORME ✓",IF(SUM(M140,O140,Q140)=SUM(N140,P140,R140),"CONFORME ✓","NÃO CONFORME ✗")))</f>
        <v/>
      </c>
      <c r="T140" s="91">
        <f>IF(F140=$Z$2,"",VLOOKUP(F140,'DATASHEET EQUIPAMENTOS'!D:N,7,FALSE))</f>
        <v/>
      </c>
      <c r="U140" s="57" t="n">
        <v>6</v>
      </c>
      <c r="V140" s="56">
        <f>IF(F140=$Z$2,"",VLOOKUP(F140,'DATASHEET EQUIPAMENTOS'!D:N,8,FALSE))</f>
        <v/>
      </c>
      <c r="W140" s="57" t="n">
        <v>6</v>
      </c>
      <c r="X140" s="56">
        <f>IF(F140=$Z$2,"",VLOOKUP(F140,'DATASHEET EQUIPAMENTOS'!D:N,9,FALSE))</f>
        <v/>
      </c>
      <c r="Y140" s="57" t="n">
        <v>3</v>
      </c>
      <c r="Z140" s="57">
        <f>IF(SUM(T140,V140,X140)&lt;=SUM(U140,W140,Y140),"CONFORME ✓",IF(SUM(T140,V140,X140)&gt;SUM(U140,W140,Y140),"NÃO CONFORME ✗"))</f>
        <v/>
      </c>
      <c r="AA140" s="56">
        <f>IF(F140=$Z$2,"",VLOOKUP(F140,'DATASHEET EQUIPAMENTOS'!D:N,10,FALSE))</f>
        <v/>
      </c>
      <c r="AB140" s="57" t="n">
        <v>6</v>
      </c>
      <c r="AC140" s="56">
        <f>IF(F140=$Z$2,"",VLOOKUP(F140,'DATASHEET EQUIPAMENTOS'!D:N,11,FALSE))</f>
        <v/>
      </c>
      <c r="AD140" s="57" t="n"/>
      <c r="AE140" s="56">
        <f>IF(F140=$Z$2,"",VLOOKUP(F140,'DATASHEET EQUIPAMENTOS'!D:O,12,FALSE))</f>
        <v/>
      </c>
      <c r="AF140" s="57" t="n"/>
      <c r="AG140" s="57">
        <f>IF(SUM(AA140,AC140,AE140)&lt;=SUM(AB140,AD140,AF140),"CONFORME ✓",IF(SUM(AA140,AC140,AE140)&gt;SUM(AB140,AD140,AF140),"NÃO CONFORME ✗"))</f>
        <v/>
      </c>
      <c r="AH140" s="72" t="n"/>
      <c r="AI140" s="72" t="n"/>
      <c r="AJ140" s="72" t="n"/>
      <c r="AK140" s="7" t="inlineStr">
        <is>
          <t>SISTEMA NAO POSSUI CABO LINEAR. NAO POSSUI BICOS DIFUSORES DO AGENTE LÍQUIDO NA PARTE DA TRANSMISSÃO. VERIFICAR POSIÇÃO DOS BICOS DIFUSORES E DOS SENSORES PONTUAIS.</t>
        </is>
      </c>
      <c r="AL140" s="58">
        <f>IFERROR(CALCULOS!H135,"NECESSÁRIO REVISAR DATASHEET")</f>
        <v/>
      </c>
      <c r="AM14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0" s="64">
        <f>SUM(Tabela2[[#This Row],[Nota de Prioridade Quantitativa(NOTAS: 1 PIOR NOTA; 5 MELHOR NOTA)]],Tabela2[[#This Row],[Nota de Prioridade Qualitativa(NOTAS: 1 PIOR NOTA;  5 MELHOR NOTA)]])</f>
        <v/>
      </c>
      <c r="AO140" s="7" t="n">
        <v>150814</v>
      </c>
      <c r="AP140" s="64">
        <f>SUM(Tabela2[[#This Row],[Nota de Prioridade Quantitativa(NOTAS: 1 PIOR NOTA; 5 MELHOR NOTA)]],Tabela2[[#This Row],[Nota de Prioridade Qualitativa(NOTAS: 1 PIOR NOTA;  5 MELHOR NOTA)]])</f>
        <v/>
      </c>
      <c r="AQ140" s="7" t="n"/>
      <c r="AR140" s="64">
        <f>SUM(Tabela2[[#This Row],[Nota de Prioridade Quantitativa(NOTAS: 1 PIOR NOTA; 5 MELHOR NOTA)]],Tabela2[[#This Row],[Nota de Prioridade Qualitativa(NOTAS: 1 PIOR NOTA;  5 MELHOR NOTA)]])</f>
        <v/>
      </c>
      <c r="AS140" s="7" t="n"/>
      <c r="AZ140" s="20">
        <f t="array" ref="AZ140">StatusCarga(G140,H140,J140,K140)</f>
        <v/>
      </c>
      <c r="BA140" s="20">
        <f>IF(AZ140="CONFORME","CONFORME ✓","NÃO CONFORME ✗")</f>
        <v/>
      </c>
      <c r="BB140" t="n">
        <v>0</v>
      </c>
      <c r="BC140" t="n">
        <v>90</v>
      </c>
      <c r="BD140" t="n">
        <v>0</v>
      </c>
      <c r="BE140" t="n">
        <v>15</v>
      </c>
      <c r="BF140" t="inlineStr">
        <is>
          <t>CONFORME</t>
        </is>
      </c>
    </row>
    <row r="141" hidden="1" ht="21.75" customHeight="1" thickBot="1">
      <c r="A141" s="77" t="inlineStr">
        <is>
          <t>Mariana</t>
        </is>
      </c>
      <c r="B141" s="77" t="inlineStr">
        <is>
          <t>Fazendão</t>
        </is>
      </c>
      <c r="C141" s="80" t="inlineStr">
        <is>
          <t>PM6313</t>
        </is>
      </c>
      <c r="D141" s="80" t="inlineStr">
        <is>
          <t>AFEX</t>
        </is>
      </c>
      <c r="E141" s="78" t="inlineStr">
        <is>
          <t>CATERPILLAR</t>
        </is>
      </c>
      <c r="F141" s="80" t="inlineStr">
        <is>
          <t>CAT 994K</t>
        </is>
      </c>
      <c r="G141" s="81">
        <f>IFERROR(IF(F141=$AB$2,"",VLOOKUP(F141,'DATASHEET EQUIPAMENTOS'!D:N,2,FALSE)),"")</f>
        <v/>
      </c>
      <c r="H141" s="82" t="inlineStr">
        <is>
          <t>3x60lbs</t>
        </is>
      </c>
      <c r="I141" s="57">
        <f>_xlfn.XLOOKUP(Tabela2[[#This Row],[Modelo]],'DATASHEET EQUIPAMENTOS'!D:D,'DATASHEET EQUIPAMENTOS'!P:P,"",0,1)</f>
        <v/>
      </c>
      <c r="J141" s="81">
        <f>IF(F141=$Z$2,"",VLOOKUP(F141,'DATASHEET EQUIPAMENTOS'!D:N,3,FALSE))</f>
        <v/>
      </c>
      <c r="K141" s="85" t="inlineStr">
        <is>
          <t>1x15gal</t>
        </is>
      </c>
      <c r="L141" s="95">
        <f>IF(AZ141="CONFORME","CONFORME ✓","NÃO CONFORME ✗")</f>
        <v/>
      </c>
      <c r="M141" s="102">
        <f>IF(F141=$Z$2,"",VLOOKUP(F141,'DATASHEET EQUIPAMENTOS'!D:N,4,FALSE))</f>
        <v/>
      </c>
      <c r="N141" s="108" t="n">
        <v>8</v>
      </c>
      <c r="O141" s="102">
        <f>IF(F141=$Z$2,"",VLOOKUP(F141,'DATASHEET EQUIPAMENTOS'!D:N,5,FALSE))</f>
        <v/>
      </c>
      <c r="P141" s="103" t="n">
        <v>4</v>
      </c>
      <c r="Q141" s="102">
        <f>IF(F141=$Z$2,"",VLOOKUP(F141,'DATASHEET EQUIPAMENTOS'!D:N,6,FALSE))</f>
        <v/>
      </c>
      <c r="R141" s="104" t="n"/>
      <c r="S141" s="95">
        <f>IF(Tabela2[[#This Row],[Instalado Sensor Motor]]="Linear","CONFORME ✓",IF(SUM(M141,O141,Q141)&lt;SUM(N141,P141,R141),"CONFORME ✓",IF(SUM(M141,O141,Q141)=SUM(N141,P141,R141),"CONFORME ✓","NÃO CONFORME ✗")))</f>
        <v/>
      </c>
      <c r="T141" s="91">
        <f>IF(F141=$Z$2,"",VLOOKUP(F141,'DATASHEET EQUIPAMENTOS'!D:N,7,FALSE))</f>
        <v/>
      </c>
      <c r="U141" s="57" t="n">
        <v>12</v>
      </c>
      <c r="V141" s="56">
        <f>IF(F141=$Z$2,"",VLOOKUP(F141,'DATASHEET EQUIPAMENTOS'!D:N,8,FALSE))</f>
        <v/>
      </c>
      <c r="W141" s="57" t="n">
        <v>12</v>
      </c>
      <c r="X141" s="56">
        <f>IF(F141=$Z$2,"",VLOOKUP(F141,'DATASHEET EQUIPAMENTOS'!D:N,9,FALSE))</f>
        <v/>
      </c>
      <c r="Y141" s="57" t="n">
        <v>9</v>
      </c>
      <c r="Z141" s="57">
        <f>IF(SUM(T141,V141,X141)&lt;=SUM(U141,W141,Y141),"CONFORME ✓",IF(SUM(T141,V141,X141)&gt;SUM(U141,W141,Y141),"NÃO CONFORME ✗"))</f>
        <v/>
      </c>
      <c r="AA141" s="56">
        <f>IF(F141=$Z$2,"",VLOOKUP(F141,'DATASHEET EQUIPAMENTOS'!D:N,10,FALSE))</f>
        <v/>
      </c>
      <c r="AB141" s="57" t="n">
        <v>6</v>
      </c>
      <c r="AC141" s="56">
        <f>IF(F141=$Z$2,"",VLOOKUP(F141,'DATASHEET EQUIPAMENTOS'!D:N,11,FALSE))</f>
        <v/>
      </c>
      <c r="AD141" s="57" t="n">
        <v>3</v>
      </c>
      <c r="AE141" s="56">
        <f>IF(F141=$Z$2,"",VLOOKUP(F141,'DATASHEET EQUIPAMENTOS'!D:O,12,FALSE))</f>
        <v/>
      </c>
      <c r="AF141" s="57" t="n"/>
      <c r="AG141" s="57">
        <f>IF(SUM(AA141,AC141,AE141)&lt;=SUM(AB141,AD141,AF141),"CONFORME ✓",IF(SUM(AA141,AC141,AE141)&gt;SUM(AB141,AD141,AF141),"NÃO CONFORME ✗"))</f>
        <v/>
      </c>
      <c r="AH141" s="72" t="n"/>
      <c r="AI141" s="72" t="n"/>
      <c r="AJ141" s="72" t="n"/>
      <c r="AK141" s="7" t="inlineStr">
        <is>
          <t>EQUIPAMENTO NÃO POSSUI CABO LINEAR E REAVALIAR O LOCAL DE ALGUNS SENSORES PONTUAIS E A PASSAGEM DE ALGUMAS MANGUEIRAS</t>
        </is>
      </c>
      <c r="AL141" s="58">
        <f>IFERROR(CALCULOS!H136,"NECESSÁRIO REVISAR DATASHEET")</f>
        <v/>
      </c>
      <c r="AM14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1" s="64">
        <f>SUM(Tabela2[[#This Row],[Nota de Prioridade Quantitativa(NOTAS: 1 PIOR NOTA; 5 MELHOR NOTA)]],Tabela2[[#This Row],[Nota de Prioridade Qualitativa(NOTAS: 1 PIOR NOTA;  5 MELHOR NOTA)]])</f>
        <v/>
      </c>
      <c r="AO141" s="7" t="n">
        <v>150813</v>
      </c>
      <c r="AP141" s="64">
        <f>SUM(Tabela2[[#This Row],[Nota de Prioridade Quantitativa(NOTAS: 1 PIOR NOTA; 5 MELHOR NOTA)]],Tabela2[[#This Row],[Nota de Prioridade Qualitativa(NOTAS: 1 PIOR NOTA;  5 MELHOR NOTA)]])</f>
        <v/>
      </c>
      <c r="AQ141" s="7" t="n"/>
      <c r="AR141" s="64">
        <f>SUM(Tabela2[[#This Row],[Nota de Prioridade Quantitativa(NOTAS: 1 PIOR NOTA; 5 MELHOR NOTA)]],Tabela2[[#This Row],[Nota de Prioridade Qualitativa(NOTAS: 1 PIOR NOTA;  5 MELHOR NOTA)]])</f>
        <v/>
      </c>
      <c r="AS141" s="7" t="n"/>
      <c r="AZ141" s="20">
        <f t="array" ref="AZ141">StatusCarga(G141,H141,J141,K141)</f>
        <v/>
      </c>
      <c r="BA141" s="20">
        <f>IF(AZ141="CONFORME","CONFORME ✓","NÃO CONFORME ✗")</f>
        <v/>
      </c>
      <c r="BB141" t="n">
        <v>0</v>
      </c>
      <c r="BC141" t="n">
        <v>180</v>
      </c>
      <c r="BD141" t="n">
        <v>0</v>
      </c>
      <c r="BE141" t="n">
        <v>15</v>
      </c>
      <c r="BF141" t="inlineStr">
        <is>
          <t>CONFORME</t>
        </is>
      </c>
    </row>
    <row r="142" hidden="1" ht="21.75" customHeight="1" thickBot="1">
      <c r="A142" s="77" t="inlineStr">
        <is>
          <t>Paraoupeba</t>
        </is>
      </c>
      <c r="B142" s="77" t="inlineStr">
        <is>
          <t>Viga</t>
        </is>
      </c>
      <c r="C142" s="80" t="inlineStr">
        <is>
          <t>PM4372</t>
        </is>
      </c>
      <c r="D142" s="80" t="inlineStr">
        <is>
          <t>AFEX</t>
        </is>
      </c>
      <c r="E142" s="78" t="inlineStr">
        <is>
          <t>CATERPILLAR</t>
        </is>
      </c>
      <c r="F142" s="80" t="inlineStr">
        <is>
          <t>cat 980M</t>
        </is>
      </c>
      <c r="G142" s="81">
        <f>IFERROR(IF(F142=$AB$2,"",VLOOKUP(F142,'DATASHEET EQUIPAMENTOS'!D:N,2,FALSE)),"")</f>
        <v/>
      </c>
      <c r="H142" s="82" t="inlineStr">
        <is>
          <t>1x60lbs</t>
        </is>
      </c>
      <c r="I142" s="57">
        <f>_xlfn.XLOOKUP(Tabela2[[#This Row],[Modelo]],'DATASHEET EQUIPAMENTOS'!D:D,'DATASHEET EQUIPAMENTOS'!P:P,"",0,1)</f>
        <v/>
      </c>
      <c r="J142" s="81">
        <f>IF(F142=$Z$2,"",VLOOKUP(F142,'DATASHEET EQUIPAMENTOS'!D:N,3,FALSE))</f>
        <v/>
      </c>
      <c r="K142" s="85" t="inlineStr">
        <is>
          <t>1x5gal</t>
        </is>
      </c>
      <c r="L142" s="95">
        <f>IF(AZ142="CONFORME","CONFORME ✓","NÃO CONFORME ✗")</f>
        <v/>
      </c>
      <c r="M142" s="102">
        <f>IF(F142=$Z$2,"",VLOOKUP(F142,'DATASHEET EQUIPAMENTOS'!D:N,4,FALSE))</f>
        <v/>
      </c>
      <c r="N142" s="108" t="n">
        <v>4</v>
      </c>
      <c r="O142" s="102">
        <f>IF(F142=$Z$2,"",VLOOKUP(F142,'DATASHEET EQUIPAMENTOS'!D:N,5,FALSE))</f>
        <v/>
      </c>
      <c r="P142" s="103" t="n"/>
      <c r="Q142" s="102">
        <f>IF(F142=$Z$2,"",VLOOKUP(F142,'DATASHEET EQUIPAMENTOS'!D:N,6,FALSE))</f>
        <v/>
      </c>
      <c r="R142" s="104" t="n"/>
      <c r="S142" s="95">
        <f>IF(Tabela2[[#This Row],[Instalado Sensor Motor]]="Linear","CONFORME ✓",IF(SUM(M142,O142,Q142)&lt;SUM(N142,P142,R142),"CONFORME ✓",IF(SUM(M142,O142,Q142)=SUM(N142,P142,R142),"CONFORME ✓","NÃO CONFORME ✗")))</f>
        <v/>
      </c>
      <c r="T142" s="91">
        <f>IF(F142=$Z$2,"",VLOOKUP(F142,'DATASHEET EQUIPAMENTOS'!D:N,7,FALSE))</f>
        <v/>
      </c>
      <c r="U142" s="57" t="n">
        <v>6</v>
      </c>
      <c r="V142" s="56">
        <f>IF(F142=$Z$2,"",VLOOKUP(F142,'DATASHEET EQUIPAMENTOS'!D:N,8,FALSE))</f>
        <v/>
      </c>
      <c r="W142" s="57" t="n">
        <v>6</v>
      </c>
      <c r="X142" s="56">
        <f>IF(F142=$Z$2,"",VLOOKUP(F142,'DATASHEET EQUIPAMENTOS'!D:N,9,FALSE))</f>
        <v/>
      </c>
      <c r="Y142" s="57" t="n"/>
      <c r="Z142" s="57">
        <f>IF(SUM(T142,V142,X142)&lt;=SUM(U142,W142,Y142),"CONFORME ✓",IF(SUM(T142,V142,X142)&gt;SUM(U142,W142,Y142),"NÃO CONFORME ✗"))</f>
        <v/>
      </c>
      <c r="AA142" s="56">
        <f>IF(F142=$Z$2,"",VLOOKUP(F142,'DATASHEET EQUIPAMENTOS'!D:N,10,FALSE))</f>
        <v/>
      </c>
      <c r="AB142" s="57" t="n">
        <v>3</v>
      </c>
      <c r="AC142" s="56">
        <f>IF(F142=$Z$2,"",VLOOKUP(F142,'DATASHEET EQUIPAMENTOS'!D:N,11,FALSE))</f>
        <v/>
      </c>
      <c r="AD142" s="57" t="n"/>
      <c r="AE142" s="56">
        <f>IF(F142=$Z$2,"",VLOOKUP(F142,'DATASHEET EQUIPAMENTOS'!D:O,12,FALSE))</f>
        <v/>
      </c>
      <c r="AF142" s="57" t="n"/>
      <c r="AG142" s="57">
        <f>IF(SUM(AA142,AC142,AE142)&lt;=SUM(AB142,AD142,AF142),"CONFORME ✓",IF(SUM(AA142,AC142,AE142)&gt;SUM(AB142,AD142,AF142),"NÃO CONFORME ✗"))</f>
        <v/>
      </c>
      <c r="AH142" s="72" t="n">
        <v>2.5</v>
      </c>
      <c r="AI142" s="72" t="n">
        <v>4</v>
      </c>
      <c r="AJ142" s="72" t="n">
        <v>2.5</v>
      </c>
      <c r="AK142" s="7" t="inlineStr">
        <is>
          <t>REPOSICIONAR DO PAINEL; REPOSICIONAR SENSORES</t>
        </is>
      </c>
      <c r="AL142" s="58">
        <f>IFERROR(CALCULOS!H137,"NECESSÁRIO REVISAR DATASHEET")</f>
        <v/>
      </c>
      <c r="AM14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2" s="64">
        <f>SUM(Tabela2[[#This Row],[Nota de Prioridade Quantitativa(NOTAS: 1 PIOR NOTA; 5 MELHOR NOTA)]],Tabela2[[#This Row],[Nota de Prioridade Qualitativa(NOTAS: 1 PIOR NOTA;  5 MELHOR NOTA)]])</f>
        <v/>
      </c>
      <c r="AO142" s="7" t="n">
        <v>152864</v>
      </c>
      <c r="AP142" s="64">
        <f>SUM(Tabela2[[#This Row],[Nota de Prioridade Quantitativa(NOTAS: 1 PIOR NOTA; 5 MELHOR NOTA)]],Tabela2[[#This Row],[Nota de Prioridade Qualitativa(NOTAS: 1 PIOR NOTA;  5 MELHOR NOTA)]])</f>
        <v/>
      </c>
      <c r="AQ142" s="7" t="n"/>
      <c r="AR142" s="64">
        <f>SUM(Tabela2[[#This Row],[Nota de Prioridade Quantitativa(NOTAS: 1 PIOR NOTA; 5 MELHOR NOTA)]],Tabela2[[#This Row],[Nota de Prioridade Qualitativa(NOTAS: 1 PIOR NOTA;  5 MELHOR NOTA)]])</f>
        <v/>
      </c>
      <c r="AS142" s="7" t="n"/>
      <c r="AZ142" s="20">
        <f t="array" ref="AZ142">StatusCarga(G142,H142,J142,K142)</f>
        <v/>
      </c>
      <c r="BA142" s="20">
        <f>IF(AZ142="CONFORME","CONFORME ✓","NÃO CONFORME ✗")</f>
        <v/>
      </c>
      <c r="BB142" t="n">
        <v>0</v>
      </c>
      <c r="BC142" t="n">
        <v>60</v>
      </c>
      <c r="BD142" t="n">
        <v>0</v>
      </c>
      <c r="BE142" t="n">
        <v>5</v>
      </c>
      <c r="BF142" t="inlineStr">
        <is>
          <t>CONFORME</t>
        </is>
      </c>
    </row>
    <row r="143" hidden="1" ht="21.75" customHeight="1" thickBot="1">
      <c r="A143" s="77" t="inlineStr">
        <is>
          <t>Mariana</t>
        </is>
      </c>
      <c r="B143" s="77" t="inlineStr">
        <is>
          <t>Fabrica Nova</t>
        </is>
      </c>
      <c r="C143" s="80" t="inlineStr">
        <is>
          <t>CA5423</t>
        </is>
      </c>
      <c r="D143" s="80" t="inlineStr">
        <is>
          <t>KIDDE</t>
        </is>
      </c>
      <c r="E143" s="78" t="inlineStr">
        <is>
          <t>CATERPILLAR</t>
        </is>
      </c>
      <c r="F143" s="80" t="inlineStr">
        <is>
          <t>cat 785C</t>
        </is>
      </c>
      <c r="G143" s="81">
        <f>IFERROR(IF(F143=$AB$2,"",VLOOKUP(F143,'DATASHEET EQUIPAMENTOS'!D:N,2,FALSE)),"")</f>
        <v/>
      </c>
      <c r="H143" s="82" t="inlineStr">
        <is>
          <t>2x50lbs</t>
        </is>
      </c>
      <c r="I143" s="57">
        <f>_xlfn.XLOOKUP(Tabela2[[#This Row],[Modelo]],'DATASHEET EQUIPAMENTOS'!D:D,'DATASHEET EQUIPAMENTOS'!P:P,"",0,1)</f>
        <v/>
      </c>
      <c r="J143" s="81">
        <f>IF(F143=$Z$2,"",VLOOKUP(F143,'DATASHEET EQUIPAMENTOS'!D:N,3,FALSE))</f>
        <v/>
      </c>
      <c r="K143" s="85" t="inlineStr">
        <is>
          <t>1x15gal</t>
        </is>
      </c>
      <c r="L143" s="95">
        <f>IF(AZ143="CONFORME","CONFORME ✓","NÃO CONFORME ✗")</f>
        <v/>
      </c>
      <c r="M143" s="102">
        <f>IF(F143=$Z$2,"",VLOOKUP(F143,'DATASHEET EQUIPAMENTOS'!D:N,4,FALSE))</f>
        <v/>
      </c>
      <c r="N143" s="108" t="inlineStr">
        <is>
          <t>Linear</t>
        </is>
      </c>
      <c r="O143" s="102">
        <f>IF(F143=$Z$2,"",VLOOKUP(F143,'DATASHEET EQUIPAMENTOS'!D:N,5,FALSE))</f>
        <v/>
      </c>
      <c r="P143" s="103" t="n"/>
      <c r="Q143" s="102">
        <f>IF(F143=$Z$2,"",VLOOKUP(F143,'DATASHEET EQUIPAMENTOS'!D:N,6,FALSE))</f>
        <v/>
      </c>
      <c r="R143" s="104" t="n"/>
      <c r="S143" s="95">
        <f>IF(Tabela2[[#This Row],[Instalado Sensor Motor]]="Linear","CONFORME ✓",IF(SUM(M143,O143,Q143)&lt;SUM(N143,P143,R143),"CONFORME ✓",IF(SUM(M143,O143,Q143)=SUM(N143,P143,R143),"CONFORME ✓","NÃO CONFORME ✗")))</f>
        <v/>
      </c>
      <c r="T143" s="91">
        <f>IF(F143=$Z$2,"",VLOOKUP(F143,'DATASHEET EQUIPAMENTOS'!D:N,7,FALSE))</f>
        <v/>
      </c>
      <c r="U143" s="57" t="n">
        <v>4</v>
      </c>
      <c r="V143" s="56">
        <f>IF(F143=$Z$2,"",VLOOKUP(F143,'DATASHEET EQUIPAMENTOS'!D:N,8,FALSE))</f>
        <v/>
      </c>
      <c r="W143" s="57" t="n">
        <v>4</v>
      </c>
      <c r="X143" s="56">
        <f>IF(F143=$Z$2,"",VLOOKUP(F143,'DATASHEET EQUIPAMENTOS'!D:N,9,FALSE))</f>
        <v/>
      </c>
      <c r="Y143" s="57" t="n">
        <v>3</v>
      </c>
      <c r="Z143" s="57">
        <f>IF(SUM(T143,V143,X143)&lt;=SUM(U143,W143,Y143),"CONFORME ✓",IF(SUM(T143,V143,X143)&gt;SUM(U143,W143,Y143),"NÃO CONFORME ✗"))</f>
        <v/>
      </c>
      <c r="AA143" s="56">
        <f>IF(F143=$Z$2,"",VLOOKUP(F143,'DATASHEET EQUIPAMENTOS'!D:N,10,FALSE))</f>
        <v/>
      </c>
      <c r="AB143" s="62" t="n">
        <v>8</v>
      </c>
      <c r="AC143" s="56">
        <f>IF(F143=$Z$2,"",VLOOKUP(F143,'DATASHEET EQUIPAMENTOS'!D:N,11,FALSE))</f>
        <v/>
      </c>
      <c r="AD143" s="57" t="n"/>
      <c r="AE143" s="56">
        <f>IF(F143=$Z$2,"",VLOOKUP(F143,'DATASHEET EQUIPAMENTOS'!D:O,12,FALSE))</f>
        <v/>
      </c>
      <c r="AF143" s="57" t="n"/>
      <c r="AG143" s="57">
        <f>IF(SUM(AA143,AC143,AE143)&lt;=SUM(AB143,AD143,AF143),"CONFORME ✓",IF(SUM(AA143,AC143,AE143)&gt;SUM(AB143,AD143,AF143),"NÃO CONFORME ✗"))</f>
        <v/>
      </c>
      <c r="AH143" s="72" t="n">
        <v>3.5</v>
      </c>
      <c r="AI143" s="72" t="n">
        <v>4.5</v>
      </c>
      <c r="AJ143" s="72" t="n">
        <v>2</v>
      </c>
      <c r="AK143" s="7" t="inlineStr">
        <is>
          <t>REALIZAR AVALIAÇÃO DO POSICIONAMENTO DO ATUADOR E PAINEL DE MONITORAMENTO SE NECESSÁRIO REALIZAR ALTERAÇÃO; MELHORAR FIXAÇÃO DOS CABOS LINEAR; VOLTAR NO EQUIPAMENTO PARA RECONTAGEM DE BICOS PQS</t>
        </is>
      </c>
      <c r="AL143" s="58">
        <f>IFERROR(CALCULOS!H138,"NECESSÁRIO REVISAR DATASHEET")</f>
        <v/>
      </c>
      <c r="AM14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3" s="64">
        <f>SUM(Tabela2[[#This Row],[Nota de Prioridade Quantitativa(NOTAS: 1 PIOR NOTA; 5 MELHOR NOTA)]],Tabela2[[#This Row],[Nota de Prioridade Qualitativa(NOTAS: 1 PIOR NOTA;  5 MELHOR NOTA)]])</f>
        <v/>
      </c>
      <c r="AO143" s="7" t="n">
        <v>150633</v>
      </c>
      <c r="AP143" s="64">
        <f>SUM(Tabela2[[#This Row],[Nota de Prioridade Quantitativa(NOTAS: 1 PIOR NOTA; 5 MELHOR NOTA)]],Tabela2[[#This Row],[Nota de Prioridade Qualitativa(NOTAS: 1 PIOR NOTA;  5 MELHOR NOTA)]])</f>
        <v/>
      </c>
      <c r="AQ143" s="7" t="n"/>
      <c r="AR143" s="64">
        <f>SUM(Tabela2[[#This Row],[Nota de Prioridade Quantitativa(NOTAS: 1 PIOR NOTA; 5 MELHOR NOTA)]],Tabela2[[#This Row],[Nota de Prioridade Qualitativa(NOTAS: 1 PIOR NOTA;  5 MELHOR NOTA)]])</f>
        <v/>
      </c>
      <c r="AS143" s="7" t="n"/>
      <c r="AZ143" s="20">
        <f t="array" ref="AZ143">StatusCarga(G143,H143,J143,K143)</f>
        <v/>
      </c>
      <c r="BA143" s="20">
        <f>IF(AZ143="CONFORME","CONFORME ✓","NÃO CONFORME ✗")</f>
        <v/>
      </c>
      <c r="BB143" t="n">
        <v>0</v>
      </c>
      <c r="BC143" t="n">
        <v>100</v>
      </c>
      <c r="BD143" t="n">
        <v>0</v>
      </c>
      <c r="BE143" t="n">
        <v>15</v>
      </c>
      <c r="BF143" t="inlineStr">
        <is>
          <t>CONFORME</t>
        </is>
      </c>
    </row>
    <row r="144" hidden="1" ht="21.75" customHeight="1" thickBot="1">
      <c r="A144" s="77" t="inlineStr">
        <is>
          <t>Paraoupeba</t>
        </is>
      </c>
      <c r="B144" s="77" t="inlineStr">
        <is>
          <t>Horizontes</t>
        </is>
      </c>
      <c r="C144" s="80" t="inlineStr">
        <is>
          <t>PM4344</t>
        </is>
      </c>
      <c r="D144" s="80" t="inlineStr">
        <is>
          <t>KIDDE</t>
        </is>
      </c>
      <c r="E144" s="78" t="inlineStr">
        <is>
          <t>CATERPILLAR</t>
        </is>
      </c>
      <c r="F144" s="80" t="inlineStr">
        <is>
          <t>cat 980</t>
        </is>
      </c>
      <c r="G144" s="81">
        <f>IFERROR(IF(F144=$AB$2,"",VLOOKUP(F144,'DATASHEET EQUIPAMENTOS'!D:N,2,FALSE)),"")</f>
        <v/>
      </c>
      <c r="H144" s="82" t="inlineStr">
        <is>
          <t>1x50lbs</t>
        </is>
      </c>
      <c r="I144" s="57">
        <f>_xlfn.XLOOKUP(Tabela2[[#This Row],[Modelo]],'DATASHEET EQUIPAMENTOS'!D:D,'DATASHEET EQUIPAMENTOS'!P:P,"",0,1)</f>
        <v/>
      </c>
      <c r="J144" s="81">
        <f>IF(F144=$Z$2,"",VLOOKUP(F144,'DATASHEET EQUIPAMENTOS'!D:N,3,FALSE))</f>
        <v/>
      </c>
      <c r="K144" s="85" t="n">
        <v>0</v>
      </c>
      <c r="L144" s="95">
        <f>IF(AZ144="CONFORME","CONFORME ✓","NÃO CONFORME ✗")</f>
        <v/>
      </c>
      <c r="M144" s="102">
        <f>IF(F144=$Z$2,"",VLOOKUP(F144,'DATASHEET EQUIPAMENTOS'!D:N,4,FALSE))</f>
        <v/>
      </c>
      <c r="N144" s="108" t="inlineStr">
        <is>
          <t>Linear</t>
        </is>
      </c>
      <c r="O144" s="102">
        <f>IF(F144=$Z$2,"",VLOOKUP(F144,'DATASHEET EQUIPAMENTOS'!D:N,5,FALSE))</f>
        <v/>
      </c>
      <c r="P144" s="103" t="n"/>
      <c r="Q144" s="102">
        <f>IF(F144=$Z$2,"",VLOOKUP(F144,'DATASHEET EQUIPAMENTOS'!D:N,6,FALSE))</f>
        <v/>
      </c>
      <c r="R144" s="104" t="n"/>
      <c r="S144" s="95">
        <f>IF(Tabela2[[#This Row],[Instalado Sensor Motor]]="Linear","CONFORME ✓",IF(SUM(M144,O144,Q144)&lt;SUM(N144,P144,R144),"CONFORME ✓",IF(SUM(M144,O144,Q144)=SUM(N144,P144,R144),"CONFORME ✓","NÃO CONFORME ✗")))</f>
        <v/>
      </c>
      <c r="T144" s="91">
        <f>IF(F144=$Z$2,"",VLOOKUP(F144,'DATASHEET EQUIPAMENTOS'!D:N,7,FALSE))</f>
        <v/>
      </c>
      <c r="U144" s="57" t="n">
        <v>5</v>
      </c>
      <c r="V144" s="56">
        <f>IF(F144=$Z$2,"",VLOOKUP(F144,'DATASHEET EQUIPAMENTOS'!D:N,8,FALSE))</f>
        <v/>
      </c>
      <c r="W144" s="57" t="n">
        <v>1</v>
      </c>
      <c r="X144" s="56">
        <f>IF(F144=$Z$2,"",VLOOKUP(F144,'DATASHEET EQUIPAMENTOS'!D:N,9,FALSE))</f>
        <v/>
      </c>
      <c r="Y144" s="57" t="n">
        <v>3</v>
      </c>
      <c r="Z144" s="57">
        <f>IF(SUM(T144,V144,X144)&lt;=SUM(U144,W144,Y144),"CONFORME ✓",IF(SUM(T144,V144,X144)&gt;SUM(U144,W144,Y144),"NÃO CONFORME ✗"))</f>
        <v/>
      </c>
      <c r="AA144" s="56">
        <f>IF(F144=$Z$2,"",VLOOKUP(F144,'DATASHEET EQUIPAMENTOS'!D:N,10,FALSE))</f>
        <v/>
      </c>
      <c r="AB144" s="57" t="n"/>
      <c r="AC144" s="56">
        <f>IF(F144=$Z$2,"",VLOOKUP(F144,'DATASHEET EQUIPAMENTOS'!D:N,11,FALSE))</f>
        <v/>
      </c>
      <c r="AD144" s="57" t="n"/>
      <c r="AE144" s="56">
        <f>IF(F144=$Z$2,"",VLOOKUP(F144,'DATASHEET EQUIPAMENTOS'!D:O,12,FALSE))</f>
        <v/>
      </c>
      <c r="AF144" s="57" t="n"/>
      <c r="AG144" s="57">
        <f>IF(SUM(AA144,AC144,AE144)&lt;=SUM(AB144,AD144,AF144),"CONFORME ✓",IF(SUM(AA144,AC144,AE144)&gt;SUM(AB144,AD144,AF144),"NÃO CONFORME ✗"))</f>
        <v/>
      </c>
      <c r="AH144" s="72" t="n">
        <v>4</v>
      </c>
      <c r="AI144" s="72" t="n">
        <v>3.5</v>
      </c>
      <c r="AJ144" s="72" t="n">
        <v>4</v>
      </c>
      <c r="AK144" s="7" t="inlineStr">
        <is>
          <t>ADEQUAÇÃO DO ACIONADOR EXTERNO</t>
        </is>
      </c>
      <c r="AL144" s="58">
        <f>IFERROR(CALCULOS!H139,"NECESSÁRIO REVISAR DATASHEET")</f>
        <v/>
      </c>
      <c r="AM14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4" s="64">
        <f>SUM(Tabela2[[#This Row],[Nota de Prioridade Quantitativa(NOTAS: 1 PIOR NOTA; 5 MELHOR NOTA)]],Tabela2[[#This Row],[Nota de Prioridade Qualitativa(NOTAS: 1 PIOR NOTA;  5 MELHOR NOTA)]])</f>
        <v/>
      </c>
      <c r="AO144" s="7" t="n">
        <v>152368</v>
      </c>
      <c r="AP144" s="64">
        <f>SUM(Tabela2[[#This Row],[Nota de Prioridade Quantitativa(NOTAS: 1 PIOR NOTA; 5 MELHOR NOTA)]],Tabela2[[#This Row],[Nota de Prioridade Qualitativa(NOTAS: 1 PIOR NOTA;  5 MELHOR NOTA)]])</f>
        <v/>
      </c>
      <c r="AQ144" s="7" t="inlineStr">
        <is>
          <t>Qualificado por Rennan</t>
        </is>
      </c>
      <c r="AR144" s="64">
        <f>SUM(Tabela2[[#This Row],[Nota de Prioridade Quantitativa(NOTAS: 1 PIOR NOTA; 5 MELHOR NOTA)]],Tabela2[[#This Row],[Nota de Prioridade Qualitativa(NOTAS: 1 PIOR NOTA;  5 MELHOR NOTA)]])</f>
        <v/>
      </c>
      <c r="AS144" s="7" t="n"/>
      <c r="AZ144" s="20">
        <f t="array" ref="AZ144">StatusCarga(G144,H144,J144,K144)</f>
        <v/>
      </c>
      <c r="BA144" s="20">
        <f>IF(AZ144="CONFORME","CONFORME ✓","NÃO CONFORME ✗")</f>
        <v/>
      </c>
      <c r="BB144" t="n">
        <v>0</v>
      </c>
      <c r="BC144" t="n">
        <v>50</v>
      </c>
      <c r="BD144" t="n">
        <v>0</v>
      </c>
      <c r="BE144" t="n">
        <v>0</v>
      </c>
      <c r="BF144" t="inlineStr">
        <is>
          <t>CONFORME</t>
        </is>
      </c>
    </row>
    <row r="145" hidden="1" ht="21.75" customHeight="1" thickBot="1">
      <c r="A145" s="77" t="inlineStr">
        <is>
          <t>Paraoupeba</t>
        </is>
      </c>
      <c r="B145" s="77" t="inlineStr">
        <is>
          <t>Horizontes</t>
        </is>
      </c>
      <c r="C145" s="80" t="inlineStr">
        <is>
          <t>PM3613</t>
        </is>
      </c>
      <c r="D145" s="80" t="inlineStr">
        <is>
          <t>AFEX</t>
        </is>
      </c>
      <c r="E145" s="78" t="inlineStr">
        <is>
          <t>CATERPILLAR</t>
        </is>
      </c>
      <c r="F145" s="80" t="inlineStr">
        <is>
          <t>CAT 992D</t>
        </is>
      </c>
      <c r="G145" s="81">
        <f>IFERROR(IF(F145=$AB$2,"",VLOOKUP(F145,'DATASHEET EQUIPAMENTOS'!D:N,2,FALSE)),"")</f>
        <v/>
      </c>
      <c r="H145" s="82" t="inlineStr">
        <is>
          <t>2x60lbs</t>
        </is>
      </c>
      <c r="I145" s="57">
        <f>_xlfn.XLOOKUP(Tabela2[[#This Row],[Modelo]],'DATASHEET EQUIPAMENTOS'!D:D,'DATASHEET EQUIPAMENTOS'!P:P,"",0,1)</f>
        <v/>
      </c>
      <c r="J145" s="81">
        <f>IF(F145=$Z$2,"",VLOOKUP(F145,'DATASHEET EQUIPAMENTOS'!D:N,3,FALSE))</f>
        <v/>
      </c>
      <c r="K145" s="85" t="inlineStr">
        <is>
          <t>1x5gal</t>
        </is>
      </c>
      <c r="L145" s="95">
        <f>IF(AZ145="CONFORME","CONFORME ✓","NÃO CONFORME ✗")</f>
        <v/>
      </c>
      <c r="M145" s="102">
        <f>IF(F145=$Z$2,"",VLOOKUP(F145,'DATASHEET EQUIPAMENTOS'!D:N,4,FALSE))</f>
        <v/>
      </c>
      <c r="N145" s="108" t="n">
        <v>6</v>
      </c>
      <c r="O145" s="102">
        <f>IF(F145=$Z$2,"",VLOOKUP(F145,'DATASHEET EQUIPAMENTOS'!D:N,5,FALSE))</f>
        <v/>
      </c>
      <c r="P145" s="103" t="n">
        <v>2</v>
      </c>
      <c r="Q145" s="102">
        <f>IF(F145=$Z$2,"",VLOOKUP(F145,'DATASHEET EQUIPAMENTOS'!D:N,6,FALSE))</f>
        <v/>
      </c>
      <c r="R145" s="104" t="n">
        <v>1</v>
      </c>
      <c r="S145" s="95">
        <f>IF(Tabela2[[#This Row],[Instalado Sensor Motor]]="Linear","CONFORME ✓",IF(SUM(M145,O145,Q145)&lt;SUM(N145,P145,R145),"CONFORME ✓",IF(SUM(M145,O145,Q145)=SUM(N145,P145,R145),"CONFORME ✓","NÃO CONFORME ✗")))</f>
        <v/>
      </c>
      <c r="T145" s="91">
        <f>IF(F145=$Z$2,"",VLOOKUP(F145,'DATASHEET EQUIPAMENTOS'!D:N,7,FALSE))</f>
        <v/>
      </c>
      <c r="U145" s="57" t="n">
        <v>12</v>
      </c>
      <c r="V145" s="56">
        <f>IF(F145=$Z$2,"",VLOOKUP(F145,'DATASHEET EQUIPAMENTOS'!D:N,8,FALSE))</f>
        <v/>
      </c>
      <c r="W145" s="57" t="n">
        <v>6</v>
      </c>
      <c r="X145" s="56">
        <f>IF(F145=$Z$2,"",VLOOKUP(F145,'DATASHEET EQUIPAMENTOS'!D:N,9,FALSE))</f>
        <v/>
      </c>
      <c r="Y145" s="57" t="n">
        <v>3</v>
      </c>
      <c r="Z145" s="57">
        <f>IF(SUM(T145,V145,X145)&lt;=SUM(U145,W145,Y145),"CONFORME ✓",IF(SUM(T145,V145,X145)&gt;SUM(U145,W145,Y145),"NÃO CONFORME ✗"))</f>
        <v/>
      </c>
      <c r="AA145" s="56">
        <f>IF(F145=$Z$2,"",VLOOKUP(F145,'DATASHEET EQUIPAMENTOS'!D:N,10,FALSE))</f>
        <v/>
      </c>
      <c r="AB145" s="57" t="n">
        <v>4</v>
      </c>
      <c r="AC145" s="56">
        <f>IF(F145=$Z$2,"",VLOOKUP(F145,'DATASHEET EQUIPAMENTOS'!D:N,11,FALSE))</f>
        <v/>
      </c>
      <c r="AD145" s="57" t="n">
        <v>0</v>
      </c>
      <c r="AE145" s="56">
        <f>IF(F145=$Z$2,"",VLOOKUP(F145,'DATASHEET EQUIPAMENTOS'!D:O,12,FALSE))</f>
        <v/>
      </c>
      <c r="AF145" s="57" t="n">
        <v>0</v>
      </c>
      <c r="AG145" s="57">
        <f>IF(SUM(AA145,AC145,AE145)&lt;=SUM(AB145,AD145,AF145),"CONFORME ✓",IF(SUM(AA145,AC145,AE145)&gt;SUM(AB145,AD145,AF145),"NÃO CONFORME ✗"))</f>
        <v/>
      </c>
      <c r="AH145" s="72" t="n">
        <v>4</v>
      </c>
      <c r="AI145" s="72" t="n">
        <v>4</v>
      </c>
      <c r="AJ145" s="72" t="n">
        <v>5</v>
      </c>
      <c r="AK145" s="7" t="inlineStr">
        <is>
          <t>REPOSICIONAR CABOS DE SENSORES; REPOSICIONAR SENSORES; REPOSICIONAR MANGUEIRAS DE DISTRIBUIÇÃO</t>
        </is>
      </c>
      <c r="AL145" s="58">
        <f>IFERROR(CALCULOS!H140,"NECESSÁRIO REVISAR DATASHEET")</f>
        <v/>
      </c>
      <c r="AM14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5" s="64">
        <f>SUM(Tabela2[[#This Row],[Nota de Prioridade Quantitativa(NOTAS: 1 PIOR NOTA; 5 MELHOR NOTA)]],Tabela2[[#This Row],[Nota de Prioridade Qualitativa(NOTAS: 1 PIOR NOTA;  5 MELHOR NOTA)]])</f>
        <v/>
      </c>
      <c r="AO145" s="7" t="n">
        <v>149309</v>
      </c>
      <c r="AP145" s="64">
        <f>SUM(Tabela2[[#This Row],[Nota de Prioridade Quantitativa(NOTAS: 1 PIOR NOTA; 5 MELHOR NOTA)]],Tabela2[[#This Row],[Nota de Prioridade Qualitativa(NOTAS: 1 PIOR NOTA;  5 MELHOR NOTA)]])</f>
        <v/>
      </c>
      <c r="AQ145" s="7" t="inlineStr">
        <is>
          <t>Qualificado por Rennan(FOTOS DUPLICADAS EM OUTRO EQUIPAMENTO)</t>
        </is>
      </c>
      <c r="AR145" s="64">
        <f>SUM(Tabela2[[#This Row],[Nota de Prioridade Quantitativa(NOTAS: 1 PIOR NOTA; 5 MELHOR NOTA)]],Tabela2[[#This Row],[Nota de Prioridade Qualitativa(NOTAS: 1 PIOR NOTA;  5 MELHOR NOTA)]])</f>
        <v/>
      </c>
      <c r="AS145" s="7" t="n"/>
      <c r="AZ145" s="20">
        <f t="array" ref="AZ145">StatusCarga(G145,H145,J145,K145)</f>
        <v/>
      </c>
      <c r="BA145" s="20">
        <f>IF(AZ145="CONFORME","CONFORME ✓","NÃO CONFORME ✗")</f>
        <v/>
      </c>
      <c r="BB145" t="n">
        <v>0</v>
      </c>
      <c r="BC145" t="n">
        <v>120</v>
      </c>
      <c r="BD145" t="n">
        <v>0</v>
      </c>
      <c r="BE145" t="n">
        <v>5</v>
      </c>
      <c r="BF145" t="inlineStr">
        <is>
          <t>CONFORME</t>
        </is>
      </c>
    </row>
    <row r="146" hidden="1" ht="21.75" customHeight="1" thickBot="1">
      <c r="A146" s="77" t="inlineStr">
        <is>
          <t>Mariana</t>
        </is>
      </c>
      <c r="B146" s="77" t="inlineStr">
        <is>
          <t>Capanema</t>
        </is>
      </c>
      <c r="C146" s="80" t="inlineStr">
        <is>
          <t>RE9703</t>
        </is>
      </c>
      <c r="D146" s="80" t="inlineStr">
        <is>
          <t>AFEX</t>
        </is>
      </c>
      <c r="E146" s="80" t="inlineStr">
        <is>
          <t>SANY</t>
        </is>
      </c>
      <c r="F146" s="80" t="inlineStr">
        <is>
          <t>SY500H</t>
        </is>
      </c>
      <c r="G146" s="81">
        <f>IFERROR(IF(F146=$AB$2,"",VLOOKUP(F146,'DATASHEET EQUIPAMENTOS'!D:N,2,FALSE)),"")</f>
        <v/>
      </c>
      <c r="H146" s="82" t="inlineStr">
        <is>
          <t>1x60lbs</t>
        </is>
      </c>
      <c r="I146" s="57">
        <f>_xlfn.XLOOKUP(Tabela2[[#This Row],[Modelo]],'DATASHEET EQUIPAMENTOS'!D:D,'DATASHEET EQUIPAMENTOS'!P:P,"",0,1)</f>
        <v/>
      </c>
      <c r="J146" s="81">
        <f>IF(F146=$Z$2,"",VLOOKUP(F146,'DATASHEET EQUIPAMENTOS'!D:N,3,FALSE))</f>
        <v/>
      </c>
      <c r="K146" s="85" t="inlineStr">
        <is>
          <t>1x5gal</t>
        </is>
      </c>
      <c r="L146" s="95">
        <f>IF(AZ146="CONFORME","CONFORME ✓","NÃO CONFORME ✗")</f>
        <v/>
      </c>
      <c r="M146" s="102">
        <f>IF(F146=$Z$2,"",VLOOKUP(F146,'DATASHEET EQUIPAMENTOS'!D:N,4,FALSE))</f>
        <v/>
      </c>
      <c r="N146" s="108" t="n">
        <v>4</v>
      </c>
      <c r="O146" s="102">
        <f>IF(F146=$Z$2,"",VLOOKUP(F146,'DATASHEET EQUIPAMENTOS'!D:N,5,FALSE))</f>
        <v/>
      </c>
      <c r="P146" s="103" t="n">
        <v>1</v>
      </c>
      <c r="Q146" s="102">
        <f>IF(F146=$Z$2,"",VLOOKUP(F146,'DATASHEET EQUIPAMENTOS'!D:N,6,FALSE))</f>
        <v/>
      </c>
      <c r="R146" s="104" t="n">
        <v>1</v>
      </c>
      <c r="S146" s="95">
        <f>IF(Tabela2[[#This Row],[Instalado Sensor Motor]]="Linear","CONFORME ✓",IF(SUM(M146,O146,Q146)&lt;SUM(N146,P146,R146),"CONFORME ✓",IF(SUM(M146,O146,Q146)=SUM(N146,P146,R146),"CONFORME ✓","NÃO CONFORME ✗")))</f>
        <v/>
      </c>
      <c r="T146" s="91">
        <f>IF(F146=$Z$2,"",VLOOKUP(F146,'DATASHEET EQUIPAMENTOS'!D:N,7,FALSE))</f>
        <v/>
      </c>
      <c r="U146" s="57" t="n">
        <v>9</v>
      </c>
      <c r="V146" s="56">
        <f>IF(F146=$Z$2,"",VLOOKUP(F146,'DATASHEET EQUIPAMENTOS'!D:N,8,FALSE))</f>
        <v/>
      </c>
      <c r="W146" s="57" t="n">
        <v>3</v>
      </c>
      <c r="X146" s="56">
        <f>IF(F146=$Z$2,"",VLOOKUP(F146,'DATASHEET EQUIPAMENTOS'!D:N,9,FALSE))</f>
        <v/>
      </c>
      <c r="Y146" s="57" t="n">
        <v>1</v>
      </c>
      <c r="Z146" s="57">
        <f>IF(SUM(T146,V146,X146)&lt;=SUM(U146,W146,Y146),"CONFORME ✓",IF(SUM(T146,V146,X146)&gt;SUM(U146,W146,Y146),"NÃO CONFORME ✗"))</f>
        <v/>
      </c>
      <c r="AA146" s="56">
        <f>IF(F146=$Z$2,"",VLOOKUP(F146,'DATASHEET EQUIPAMENTOS'!D:N,10,FALSE))</f>
        <v/>
      </c>
      <c r="AB146" s="57" t="n">
        <v>9</v>
      </c>
      <c r="AC146" s="56">
        <f>IF(F146=$Z$2,"",VLOOKUP(F146,'DATASHEET EQUIPAMENTOS'!D:N,11,FALSE))</f>
        <v/>
      </c>
      <c r="AD146" s="57" t="n">
        <v>3</v>
      </c>
      <c r="AE146" s="56">
        <f>IF(F146=$Z$2,"",VLOOKUP(F146,'DATASHEET EQUIPAMENTOS'!D:O,12,FALSE))</f>
        <v/>
      </c>
      <c r="AF146" s="57" t="n">
        <v>1</v>
      </c>
      <c r="AG146" s="57">
        <f>IF(SUM(AA146,AC146,AE146)&lt;=SUM(AB146,AD146,AF146),"CONFORME ✓",IF(SUM(AA146,AC146,AE146)&gt;SUM(AB146,AD146,AF146),"NÃO CONFORME ✗"))</f>
        <v/>
      </c>
      <c r="AH146" s="72" t="n"/>
      <c r="AI146" s="72" t="n"/>
      <c r="AJ146" s="72" t="n"/>
      <c r="AK146" s="7" t="inlineStr">
        <is>
          <t>SISTEMA OPERANDO EM MODO MANUAL E AUTOMÁTICO.</t>
        </is>
      </c>
      <c r="AL146" s="58">
        <f>IFERROR(CALCULOS!H141,"NECESSÁRIO REVISAR DATASHEET")</f>
        <v/>
      </c>
      <c r="AM14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6" s="64">
        <f>SUM(Tabela2[[#This Row],[Nota de Prioridade Quantitativa(NOTAS: 1 PIOR NOTA; 5 MELHOR NOTA)]],Tabela2[[#This Row],[Nota de Prioridade Qualitativa(NOTAS: 1 PIOR NOTA;  5 MELHOR NOTA)]])</f>
        <v/>
      </c>
      <c r="AO146" s="7" t="n">
        <v>150488</v>
      </c>
      <c r="AP146" s="64">
        <f>SUM(Tabela2[[#This Row],[Nota de Prioridade Quantitativa(NOTAS: 1 PIOR NOTA; 5 MELHOR NOTA)]],Tabela2[[#This Row],[Nota de Prioridade Qualitativa(NOTAS: 1 PIOR NOTA;  5 MELHOR NOTA)]])</f>
        <v/>
      </c>
      <c r="AQ146" s="7" t="n"/>
      <c r="AR146" s="64">
        <f>SUM(Tabela2[[#This Row],[Nota de Prioridade Quantitativa(NOTAS: 1 PIOR NOTA; 5 MELHOR NOTA)]],Tabela2[[#This Row],[Nota de Prioridade Qualitativa(NOTAS: 1 PIOR NOTA;  5 MELHOR NOTA)]])</f>
        <v/>
      </c>
      <c r="AS146" s="7" t="n"/>
      <c r="AZ146" s="20">
        <f t="array" ref="AZ146">StatusCarga(G146,H146,J146,K146)</f>
        <v/>
      </c>
      <c r="BA146" s="20">
        <f>IF(AZ146="CONFORME","CONFORME ✓","NÃO CONFORME ✗")</f>
        <v/>
      </c>
      <c r="BB146" t="n">
        <v>0</v>
      </c>
      <c r="BC146" t="n">
        <v>60</v>
      </c>
      <c r="BD146" t="n">
        <v>0</v>
      </c>
      <c r="BE146" t="n">
        <v>5</v>
      </c>
      <c r="BF146" t="inlineStr">
        <is>
          <t>CONFORME</t>
        </is>
      </c>
    </row>
    <row r="147" hidden="1" ht="21.75" customHeight="1" thickBot="1">
      <c r="A147" s="77" t="inlineStr">
        <is>
          <t>Paraoupeba</t>
        </is>
      </c>
      <c r="B147" s="77" t="inlineStr">
        <is>
          <t>Mar azul</t>
        </is>
      </c>
      <c r="C147" s="80" t="inlineStr">
        <is>
          <t>PM4368</t>
        </is>
      </c>
      <c r="D147" s="80" t="inlineStr">
        <is>
          <t>AFEX</t>
        </is>
      </c>
      <c r="E147" s="78" t="inlineStr">
        <is>
          <t>CATERPILLAR</t>
        </is>
      </c>
      <c r="F147" s="80" t="inlineStr">
        <is>
          <t>cat 980M</t>
        </is>
      </c>
      <c r="G147" s="81">
        <f>IFERROR(IF(F147=$AB$2,"",VLOOKUP(F147,'DATASHEET EQUIPAMENTOS'!D:N,2,FALSE)),"")</f>
        <v/>
      </c>
      <c r="H147" s="82" t="inlineStr">
        <is>
          <t>1x60lbs</t>
        </is>
      </c>
      <c r="I147" s="57">
        <f>_xlfn.XLOOKUP(Tabela2[[#This Row],[Modelo]],'DATASHEET EQUIPAMENTOS'!D:D,'DATASHEET EQUIPAMENTOS'!P:P,"",0,1)</f>
        <v/>
      </c>
      <c r="J147" s="81">
        <f>IF(F147=$Z$2,"",VLOOKUP(F147,'DATASHEET EQUIPAMENTOS'!D:N,3,FALSE))</f>
        <v/>
      </c>
      <c r="K147" s="85" t="inlineStr">
        <is>
          <t>1x5gal</t>
        </is>
      </c>
      <c r="L147" s="95">
        <f>IF(AZ147="CONFORME","CONFORME ✓","NÃO CONFORME ✗")</f>
        <v/>
      </c>
      <c r="M147" s="102">
        <f>IF(F147=$Z$2,"",VLOOKUP(F147,'DATASHEET EQUIPAMENTOS'!D:N,4,FALSE))</f>
        <v/>
      </c>
      <c r="N147" s="108" t="n">
        <v>4</v>
      </c>
      <c r="O147" s="102">
        <f>IF(F147=$Z$2,"",VLOOKUP(F147,'DATASHEET EQUIPAMENTOS'!D:N,5,FALSE))</f>
        <v/>
      </c>
      <c r="P147" s="103" t="n">
        <v>0</v>
      </c>
      <c r="Q147" s="102">
        <f>IF(F147=$Z$2,"",VLOOKUP(F147,'DATASHEET EQUIPAMENTOS'!D:N,6,FALSE))</f>
        <v/>
      </c>
      <c r="R147" s="104" t="n">
        <v>0</v>
      </c>
      <c r="S147" s="95">
        <f>IF(Tabela2[[#This Row],[Instalado Sensor Motor]]="Linear","CONFORME ✓",IF(SUM(M147,O147,Q147)&lt;SUM(N147,P147,R147),"CONFORME ✓",IF(SUM(M147,O147,Q147)=SUM(N147,P147,R147),"CONFORME ✓","NÃO CONFORME ✗")))</f>
        <v/>
      </c>
      <c r="T147" s="91">
        <f>IF(F147=$Z$2,"",VLOOKUP(F147,'DATASHEET EQUIPAMENTOS'!D:N,7,FALSE))</f>
        <v/>
      </c>
      <c r="U147" s="57" t="n">
        <v>16</v>
      </c>
      <c r="V147" s="56">
        <f>IF(F147=$Z$2,"",VLOOKUP(F147,'DATASHEET EQUIPAMENTOS'!D:N,8,FALSE))</f>
        <v/>
      </c>
      <c r="W147" s="57" t="n">
        <v>6</v>
      </c>
      <c r="X147" s="56">
        <f>IF(F147=$Z$2,"",VLOOKUP(F147,'DATASHEET EQUIPAMENTOS'!D:N,9,FALSE))</f>
        <v/>
      </c>
      <c r="Y147" s="57" t="n">
        <v>6</v>
      </c>
      <c r="Z147" s="57">
        <f>IF(SUM(T147,V147,X147)&lt;=SUM(U147,W147,Y147),"CONFORME ✓",IF(SUM(T147,V147,X147)&gt;SUM(U147,W147,Y147),"NÃO CONFORME ✗"))</f>
        <v/>
      </c>
      <c r="AA147" s="56">
        <f>IF(F147=$Z$2,"",VLOOKUP(F147,'DATASHEET EQUIPAMENTOS'!D:N,10,FALSE))</f>
        <v/>
      </c>
      <c r="AB147" s="57" t="n"/>
      <c r="AC147" s="56">
        <f>IF(F147=$Z$2,"",VLOOKUP(F147,'DATASHEET EQUIPAMENTOS'!D:N,11,FALSE))</f>
        <v/>
      </c>
      <c r="AD147" s="57" t="n"/>
      <c r="AE147" s="56">
        <f>IF(F147=$Z$2,"",VLOOKUP(F147,'DATASHEET EQUIPAMENTOS'!D:O,12,FALSE))</f>
        <v/>
      </c>
      <c r="AF147" s="57" t="n"/>
      <c r="AG147" s="57">
        <f>IF(SUM(AA147,AC147,AE147)&lt;=SUM(AB147,AD147,AF147),"CONFORME ✓",IF(SUM(AA147,AC147,AE147)&gt;SUM(AB147,AD147,AF147),"NÃO CONFORME ✗"))</f>
        <v/>
      </c>
      <c r="AH147" s="72" t="n"/>
      <c r="AI147" s="72" t="n"/>
      <c r="AJ147" s="72" t="n"/>
      <c r="AK147" s="7" t="inlineStr">
        <is>
          <t>FOI REALIZADO A ESPERANÇA NO EQUIPAMENTO</t>
        </is>
      </c>
      <c r="AL147" s="58">
        <f>IFERROR(CALCULOS!H142,"NECESSÁRIO REVISAR DATASHEET")</f>
        <v/>
      </c>
      <c r="AM14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7" s="64">
        <f>SUM(Tabela2[[#This Row],[Nota de Prioridade Quantitativa(NOTAS: 1 PIOR NOTA; 5 MELHOR NOTA)]],Tabela2[[#This Row],[Nota de Prioridade Qualitativa(NOTAS: 1 PIOR NOTA;  5 MELHOR NOTA)]])</f>
        <v/>
      </c>
      <c r="AO147" s="7" t="n">
        <v>150171</v>
      </c>
      <c r="AP147" s="64">
        <f>SUM(Tabela2[[#This Row],[Nota de Prioridade Quantitativa(NOTAS: 1 PIOR NOTA; 5 MELHOR NOTA)]],Tabela2[[#This Row],[Nota de Prioridade Qualitativa(NOTAS: 1 PIOR NOTA;  5 MELHOR NOTA)]])</f>
        <v/>
      </c>
      <c r="AQ147" s="7" t="n"/>
      <c r="AR147" s="64">
        <f>SUM(Tabela2[[#This Row],[Nota de Prioridade Quantitativa(NOTAS: 1 PIOR NOTA; 5 MELHOR NOTA)]],Tabela2[[#This Row],[Nota de Prioridade Qualitativa(NOTAS: 1 PIOR NOTA;  5 MELHOR NOTA)]])</f>
        <v/>
      </c>
      <c r="AS147" s="7" t="n"/>
      <c r="AZ147" s="20">
        <f t="array" ref="AZ147">StatusCarga(G147,H147,J147,K147)</f>
        <v/>
      </c>
      <c r="BA147" s="20">
        <f>IF(AZ147="CONFORME","CONFORME ✓","NÃO CONFORME ✗")</f>
        <v/>
      </c>
      <c r="BB147" t="n">
        <v>0</v>
      </c>
      <c r="BC147" t="n">
        <v>60</v>
      </c>
      <c r="BD147" t="n">
        <v>0</v>
      </c>
      <c r="BE147" t="n">
        <v>5</v>
      </c>
      <c r="BF147" t="inlineStr">
        <is>
          <t>CONFORME</t>
        </is>
      </c>
    </row>
    <row r="148" hidden="1" ht="21.75" customHeight="1" thickBot="1">
      <c r="A148" s="77" t="inlineStr">
        <is>
          <t>Paraoupeba</t>
        </is>
      </c>
      <c r="B148" s="77" t="inlineStr">
        <is>
          <t>Viga</t>
        </is>
      </c>
      <c r="C148" s="80" t="inlineStr">
        <is>
          <t>PM3017</t>
        </is>
      </c>
      <c r="D148" s="80" t="inlineStr">
        <is>
          <t>AFEX</t>
        </is>
      </c>
      <c r="E148" s="78" t="inlineStr">
        <is>
          <t>CATERPILLAR</t>
        </is>
      </c>
      <c r="F148" s="80" t="inlineStr">
        <is>
          <t>CAT 990K</t>
        </is>
      </c>
      <c r="G148" s="81">
        <f>IFERROR(IF(F148=$AB$2,"",VLOOKUP(F148,'DATASHEET EQUIPAMENTOS'!D:N,2,FALSE)),"")</f>
        <v/>
      </c>
      <c r="H148" s="82" t="inlineStr">
        <is>
          <t>3x30lbs</t>
        </is>
      </c>
      <c r="I148" s="57">
        <f>_xlfn.XLOOKUP(Tabela2[[#This Row],[Modelo]],'DATASHEET EQUIPAMENTOS'!D:D,'DATASHEET EQUIPAMENTOS'!P:P,"",0,1)</f>
        <v/>
      </c>
      <c r="J148" s="81">
        <f>IF(F148=$Z$2,"",VLOOKUP(F148,'DATASHEET EQUIPAMENTOS'!D:N,3,FALSE))</f>
        <v/>
      </c>
      <c r="K148" s="85" t="inlineStr">
        <is>
          <t>1x5gal</t>
        </is>
      </c>
      <c r="L148" s="95">
        <f>IF(AZ148="CONFORME","CONFORME ✓","NÃO CONFORME ✗")</f>
        <v/>
      </c>
      <c r="M148" s="102">
        <f>IF(F148=$Z$2,"",VLOOKUP(F148,'DATASHEET EQUIPAMENTOS'!D:N,4,FALSE))</f>
        <v/>
      </c>
      <c r="N148" s="108" t="n">
        <v>6</v>
      </c>
      <c r="O148" s="102">
        <f>IF(F148=$Z$2,"",VLOOKUP(F148,'DATASHEET EQUIPAMENTOS'!D:N,5,FALSE))</f>
        <v/>
      </c>
      <c r="P148" s="103" t="n">
        <v>1</v>
      </c>
      <c r="Q148" s="102">
        <f>IF(F148=$Z$2,"",VLOOKUP(F148,'DATASHEET EQUIPAMENTOS'!D:N,6,FALSE))</f>
        <v/>
      </c>
      <c r="R148" s="104" t="n">
        <v>1</v>
      </c>
      <c r="S148" s="95">
        <f>IF(Tabela2[[#This Row],[Instalado Sensor Motor]]="Linear","CONFORME ✓",IF(SUM(M148,O148,Q148)&lt;SUM(N148,P148,R148),"CONFORME ✓",IF(SUM(M148,O148,Q148)=SUM(N148,P148,R148),"CONFORME ✓","NÃO CONFORME ✗")))</f>
        <v/>
      </c>
      <c r="T148" s="91">
        <f>IF(F148=$Z$2,"",VLOOKUP(F148,'DATASHEET EQUIPAMENTOS'!D:N,7,FALSE))</f>
        <v/>
      </c>
      <c r="U148" s="57" t="n">
        <v>12</v>
      </c>
      <c r="V148" s="56">
        <f>IF(F148=$Z$2,"",VLOOKUP(F148,'DATASHEET EQUIPAMENTOS'!D:N,8,FALSE))</f>
        <v/>
      </c>
      <c r="W148" s="57" t="n">
        <v>6</v>
      </c>
      <c r="X148" s="56">
        <f>IF(F148=$Z$2,"",VLOOKUP(F148,'DATASHEET EQUIPAMENTOS'!D:N,9,FALSE))</f>
        <v/>
      </c>
      <c r="Y148" s="57" t="n"/>
      <c r="Z148" s="57">
        <f>IF(SUM(T148,V148,X148)&lt;=SUM(U148,W148,Y148),"CONFORME ✓",IF(SUM(T148,V148,X148)&gt;SUM(U148,W148,Y148),"NÃO CONFORME ✗"))</f>
        <v/>
      </c>
      <c r="AA148" s="56">
        <f>IF(F148=$Z$2,"",VLOOKUP(F148,'DATASHEET EQUIPAMENTOS'!D:N,10,FALSE))</f>
        <v/>
      </c>
      <c r="AB148" s="57" t="n">
        <v>6</v>
      </c>
      <c r="AC148" s="56">
        <f>IF(F148=$Z$2,"",VLOOKUP(F148,'DATASHEET EQUIPAMENTOS'!D:N,11,FALSE))</f>
        <v/>
      </c>
      <c r="AD148" s="57" t="n"/>
      <c r="AE148" s="56">
        <f>IF(F148=$Z$2,"",VLOOKUP(F148,'DATASHEET EQUIPAMENTOS'!D:O,12,FALSE))</f>
        <v/>
      </c>
      <c r="AF148" s="57" t="n"/>
      <c r="AG148" s="57">
        <f>IF(SUM(AA148,AC148,AE148)&lt;=SUM(AB148,AD148,AF148),"CONFORME ✓",IF(SUM(AA148,AC148,AE148)&gt;SUM(AB148,AD148,AF148),"NÃO CONFORME ✗"))</f>
        <v/>
      </c>
      <c r="AH148" s="72" t="n">
        <v>4</v>
      </c>
      <c r="AI148" s="72" t="n">
        <v>4</v>
      </c>
      <c r="AJ148" s="72" t="n">
        <v>4</v>
      </c>
      <c r="AK148" s="7" t="n"/>
      <c r="AL148" s="58">
        <f>IFERROR(CALCULOS!H143,"NECESSÁRIO REVISAR DATASHEET")</f>
        <v/>
      </c>
      <c r="AM14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8" s="64">
        <f>SUM(Tabela2[[#This Row],[Nota de Prioridade Quantitativa(NOTAS: 1 PIOR NOTA; 5 MELHOR NOTA)]],Tabela2[[#This Row],[Nota de Prioridade Qualitativa(NOTAS: 1 PIOR NOTA;  5 MELHOR NOTA)]])</f>
        <v/>
      </c>
      <c r="AO148" s="7" t="n">
        <v>152346</v>
      </c>
      <c r="AP148" s="64">
        <f>SUM(Tabela2[[#This Row],[Nota de Prioridade Quantitativa(NOTAS: 1 PIOR NOTA; 5 MELHOR NOTA)]],Tabela2[[#This Row],[Nota de Prioridade Qualitativa(NOTAS: 1 PIOR NOTA;  5 MELHOR NOTA)]])</f>
        <v/>
      </c>
      <c r="AQ148" s="7" t="n"/>
      <c r="AR148" s="64">
        <f>SUM(Tabela2[[#This Row],[Nota de Prioridade Quantitativa(NOTAS: 1 PIOR NOTA; 5 MELHOR NOTA)]],Tabela2[[#This Row],[Nota de Prioridade Qualitativa(NOTAS: 1 PIOR NOTA;  5 MELHOR NOTA)]])</f>
        <v/>
      </c>
      <c r="AS148" s="7" t="n"/>
      <c r="AZ148" s="20">
        <f t="array" ref="AZ148">StatusCarga(G148,H148,J148,K148)</f>
        <v/>
      </c>
      <c r="BA148" s="20">
        <f>IF(AZ148="CONFORME","CONFORME ✓","NÃO CONFORME ✗")</f>
        <v/>
      </c>
      <c r="BB148" t="n">
        <v>0</v>
      </c>
      <c r="BC148" t="n">
        <v>90</v>
      </c>
      <c r="BD148" t="n">
        <v>0</v>
      </c>
      <c r="BE148" t="n">
        <v>5</v>
      </c>
      <c r="BF148" t="inlineStr">
        <is>
          <t>CONFORME</t>
        </is>
      </c>
    </row>
    <row r="149" ht="21.75" customHeight="1" thickBot="1">
      <c r="A149" s="151" t="inlineStr">
        <is>
          <t>itabira</t>
        </is>
      </c>
      <c r="B149" s="77" t="inlineStr">
        <is>
          <t>Cauê</t>
        </is>
      </c>
      <c r="C149" s="80" t="inlineStr">
        <is>
          <t>CE57823</t>
        </is>
      </c>
      <c r="D149" s="80" t="inlineStr">
        <is>
          <t>AFEX</t>
        </is>
      </c>
      <c r="E149" s="78" t="inlineStr">
        <is>
          <t>KOMATSU</t>
        </is>
      </c>
      <c r="F149" s="78" t="inlineStr">
        <is>
          <t>Komatsu 830E</t>
        </is>
      </c>
      <c r="G149" s="81">
        <f>IFERROR(IF(F149=$AB$2,"",VLOOKUP(F149,'DATASHEET EQUIPAMENTOS'!D:N,2,FALSE)),"")</f>
        <v/>
      </c>
      <c r="H149" s="82" t="inlineStr">
        <is>
          <t>2x60lbs</t>
        </is>
      </c>
      <c r="I149" s="57">
        <f>_xlfn.XLOOKUP(Tabela2[[#This Row],[Modelo]],'DATASHEET EQUIPAMENTOS'!D:D,'DATASHEET EQUIPAMENTOS'!P:P,"",0,1)</f>
        <v/>
      </c>
      <c r="J149" s="81">
        <f>IF(F149=$Z$2,"",VLOOKUP(F149,'DATASHEET EQUIPAMENTOS'!D:N,3,FALSE))</f>
        <v/>
      </c>
      <c r="K149" s="85" t="inlineStr">
        <is>
          <t>2x5gal</t>
        </is>
      </c>
      <c r="L149" s="95">
        <f>IF(AZ149="CONFORME","CONFORME ✓","NÃO CONFORME ✗")</f>
        <v/>
      </c>
      <c r="M149" s="102">
        <f>IF(F149=$Z$2,"",VLOOKUP(F149,'DATASHEET EQUIPAMENTOS'!D:N,4,FALSE))</f>
        <v/>
      </c>
      <c r="N149" s="108" t="n">
        <v>6</v>
      </c>
      <c r="O149" s="102">
        <f>IF(F149=$Z$2,"",VLOOKUP(F149,'DATASHEET EQUIPAMENTOS'!D:N,5,FALSE))</f>
        <v/>
      </c>
      <c r="P149" s="103" t="n">
        <v>2</v>
      </c>
      <c r="Q149" s="102">
        <f>IF(F149=$Z$2,"",VLOOKUP(F149,'DATASHEET EQUIPAMENTOS'!D:N,6,FALSE))</f>
        <v/>
      </c>
      <c r="R149" s="104" t="n"/>
      <c r="S149" s="95">
        <f>IF(Tabela2[[#This Row],[Instalado Sensor Motor]]="Linear","CONFORME ✓",IF(SUM(M149,O149,Q149)&lt;SUM(N149,P149,R149),"CONFORME ✓",IF(SUM(M149,O149,Q149)=SUM(N149,P149,R149),"CONFORME ✓","NÃO CONFORME ✗")))</f>
        <v/>
      </c>
      <c r="T149" s="91">
        <f>IF(F149=$Z$2,"",VLOOKUP(F149,'DATASHEET EQUIPAMENTOS'!D:N,7,FALSE))</f>
        <v/>
      </c>
      <c r="U149" s="57" t="n">
        <v>18</v>
      </c>
      <c r="V149" s="56">
        <f>IF(F149=$Z$2,"",VLOOKUP(F149,'DATASHEET EQUIPAMENTOS'!D:N,8,FALSE))</f>
        <v/>
      </c>
      <c r="W149" s="57" t="n">
        <v>6</v>
      </c>
      <c r="X149" s="56">
        <f>IF(F149=$Z$2,"",VLOOKUP(F149,'DATASHEET EQUIPAMENTOS'!D:N,9,FALSE))</f>
        <v/>
      </c>
      <c r="Y149" s="57" t="n"/>
      <c r="Z149" s="57">
        <f>IF(SUM(T149,V149,X149)&lt;=SUM(U149,W149,Y149),"CONFORME ✓",IF(SUM(T149,V149,X149)&gt;SUM(U149,W149,Y149),"NÃO CONFORME ✗"))</f>
        <v/>
      </c>
      <c r="AA149" s="56">
        <f>IF(F149=$Z$2,"",VLOOKUP(F149,'DATASHEET EQUIPAMENTOS'!D:N,10,FALSE))</f>
        <v/>
      </c>
      <c r="AB149" s="57" t="n">
        <v>4</v>
      </c>
      <c r="AC149" s="56">
        <f>IF(F149=$Z$2,"",VLOOKUP(F149,'DATASHEET EQUIPAMENTOS'!D:N,11,FALSE))</f>
        <v/>
      </c>
      <c r="AD149" s="57" t="n"/>
      <c r="AE149" s="56">
        <f>IF(F149=$Z$2,"",VLOOKUP(F149,'DATASHEET EQUIPAMENTOS'!D:O,12,FALSE))</f>
        <v/>
      </c>
      <c r="AF149" s="57" t="n">
        <v>2</v>
      </c>
      <c r="AG149" s="57">
        <f>IF(SUM(AA149,AC149,AE149)&lt;=SUM(AB149,AD149,AF149),"CONFORME ✓",IF(SUM(AA149,AC149,AE149)&gt;SUM(AB149,AD149,AF149),"NÃO CONFORME ✗"))</f>
        <v/>
      </c>
      <c r="AH149" s="72" t="n">
        <v>3.5</v>
      </c>
      <c r="AI149" s="72" t="n">
        <v>4</v>
      </c>
      <c r="AJ149" s="72" t="n">
        <v>4</v>
      </c>
      <c r="AK149" s="7" t="inlineStr">
        <is>
          <t xml:space="preserve"> Repocisionar atuador da cabine</t>
        </is>
      </c>
      <c r="AL149" s="58">
        <f>IFERROR(CALCULOS!H144,"NECESSÁRIO REVISAR DATASHEET")</f>
        <v/>
      </c>
      <c r="AM14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49" s="64">
        <f>SUM(Tabela2[[#This Row],[Nota de Prioridade Quantitativa(NOTAS: 1 PIOR NOTA; 5 MELHOR NOTA)]],Tabela2[[#This Row],[Nota de Prioridade Qualitativa(NOTAS: 1 PIOR NOTA;  5 MELHOR NOTA)]])</f>
        <v/>
      </c>
      <c r="AO149" s="7" t="n">
        <v>150373</v>
      </c>
      <c r="AP149" s="64">
        <f>SUM(Tabela2[[#This Row],[Nota de Prioridade Quantitativa(NOTAS: 1 PIOR NOTA; 5 MELHOR NOTA)]],Tabela2[[#This Row],[Nota de Prioridade Qualitativa(NOTAS: 1 PIOR NOTA;  5 MELHOR NOTA)]])</f>
        <v/>
      </c>
      <c r="AQ149" s="7" t="n"/>
      <c r="AR149" s="64">
        <f>SUM(Tabela2[[#This Row],[Nota de Prioridade Quantitativa(NOTAS: 1 PIOR NOTA; 5 MELHOR NOTA)]],Tabela2[[#This Row],[Nota de Prioridade Qualitativa(NOTAS: 1 PIOR NOTA;  5 MELHOR NOTA)]])</f>
        <v/>
      </c>
      <c r="AS149" s="7" t="n"/>
      <c r="AZ149" s="20">
        <f t="array" ref="AZ149">StatusCarga(G149,H149,J149,K149)</f>
        <v/>
      </c>
      <c r="BA149" s="20">
        <f>IF(AZ149="CONFORME","CONFORME ✓","NÃO CONFORME ✗")</f>
        <v/>
      </c>
      <c r="BB149" t="n">
        <v>0</v>
      </c>
      <c r="BC149" t="n">
        <v>120</v>
      </c>
      <c r="BD149" t="n">
        <v>0</v>
      </c>
      <c r="BE149" t="n">
        <v>10</v>
      </c>
      <c r="BF149" t="inlineStr">
        <is>
          <t>CONFORME</t>
        </is>
      </c>
    </row>
    <row r="150" hidden="1" ht="21.75" customHeight="1" thickBot="1">
      <c r="A150" s="77" t="inlineStr">
        <is>
          <t>Paraoupeba</t>
        </is>
      </c>
      <c r="B150" s="77" t="inlineStr">
        <is>
          <t>Horizontes</t>
        </is>
      </c>
      <c r="C150" s="80" t="inlineStr">
        <is>
          <t>PF0121</t>
        </is>
      </c>
      <c r="D150" s="80" t="inlineStr">
        <is>
          <t>KIDDE</t>
        </is>
      </c>
      <c r="E150" s="80" t="inlineStr">
        <is>
          <t>EPIROC</t>
        </is>
      </c>
      <c r="F150" s="4" t="inlineStr">
        <is>
          <t>EPIROC D65</t>
        </is>
      </c>
      <c r="G150" s="81">
        <f>IFERROR(IF(F150=$AB$2,"",VLOOKUP(F150,'DATASHEET EQUIPAMENTOS'!D:N,2,FALSE)),"")</f>
        <v/>
      </c>
      <c r="H150" s="82" t="inlineStr">
        <is>
          <t>1x25lbs</t>
        </is>
      </c>
      <c r="I150" s="57">
        <f>_xlfn.XLOOKUP(Tabela2[[#This Row],[Modelo]],'DATASHEET EQUIPAMENTOS'!D:D,'DATASHEET EQUIPAMENTOS'!P:P,"",0,1)</f>
        <v/>
      </c>
      <c r="J150" s="81">
        <f>IF(F150=$Z$2,"",VLOOKUP(F150,'DATASHEET EQUIPAMENTOS'!D:N,3,FALSE))</f>
        <v/>
      </c>
      <c r="K150" s="85" t="n">
        <v>0</v>
      </c>
      <c r="L150" s="95">
        <f>IF(AZ150="CONFORME","CONFORME ✓","NÃO CONFORME ✗")</f>
        <v/>
      </c>
      <c r="M150" s="102">
        <f>IF(F150=$Z$2,"",VLOOKUP(F150,'DATASHEET EQUIPAMENTOS'!D:N,4,FALSE))</f>
        <v/>
      </c>
      <c r="N150" s="108" t="inlineStr">
        <is>
          <t>Linear</t>
        </is>
      </c>
      <c r="O150" s="102">
        <f>IF(F150=$Z$2,"",VLOOKUP(F150,'DATASHEET EQUIPAMENTOS'!D:N,5,FALSE))</f>
        <v/>
      </c>
      <c r="P150" s="103" t="n"/>
      <c r="Q150" s="102">
        <f>IF(F150=$Z$2,"",VLOOKUP(F150,'DATASHEET EQUIPAMENTOS'!D:N,6,FALSE))</f>
        <v/>
      </c>
      <c r="R150" s="104" t="n"/>
      <c r="S150" s="95">
        <f>IF(Tabela2[[#This Row],[Instalado Sensor Motor]]="Linear","CONFORME ✓",IF(SUM(M150,O150,Q150)&lt;SUM(N150,P150,R150),"CONFORME ✓",IF(SUM(M150,O150,Q150)=SUM(N150,P150,R150),"CONFORME ✓","NÃO CONFORME ✗")))</f>
        <v/>
      </c>
      <c r="T150" s="91">
        <f>IF(F150=$Z$2,"",VLOOKUP(F150,'DATASHEET EQUIPAMENTOS'!D:N,7,FALSE))</f>
        <v/>
      </c>
      <c r="U150" s="57" t="n">
        <v>6</v>
      </c>
      <c r="V150" s="56">
        <f>IF(F150=$Z$2,"",VLOOKUP(F150,'DATASHEET EQUIPAMENTOS'!D:N,8,FALSE))</f>
        <v/>
      </c>
      <c r="W150" s="57" t="n">
        <v>0</v>
      </c>
      <c r="X150" s="56">
        <f>IF(F150=$Z$2,"",VLOOKUP(F150,'DATASHEET EQUIPAMENTOS'!D:N,9,FALSE))</f>
        <v/>
      </c>
      <c r="Y150" s="57" t="n">
        <v>0</v>
      </c>
      <c r="Z150" s="57">
        <f>IF(SUM(T150,V150,X150)&lt;=SUM(U150,W150,Y150),"CONFORME ✓",IF(SUM(T150,V150,X150)&gt;SUM(U150,W150,Y150),"NÃO CONFORME ✗"))</f>
        <v/>
      </c>
      <c r="AA150" s="56">
        <f>IF(F150=$Z$2,"",VLOOKUP(F150,'DATASHEET EQUIPAMENTOS'!D:N,10,FALSE))</f>
        <v/>
      </c>
      <c r="AB150" s="57" t="n">
        <v>0</v>
      </c>
      <c r="AC150" s="56">
        <f>IF(F150=$Z$2,"",VLOOKUP(F150,'DATASHEET EQUIPAMENTOS'!D:N,11,FALSE))</f>
        <v/>
      </c>
      <c r="AD150" s="57" t="n">
        <v>0</v>
      </c>
      <c r="AE150" s="56">
        <f>IF(F150=$Z$2,"",VLOOKUP(F150,'DATASHEET EQUIPAMENTOS'!D:O,12,FALSE))</f>
        <v/>
      </c>
      <c r="AF150" s="57" t="n">
        <v>0</v>
      </c>
      <c r="AG150" s="57">
        <f>IF(SUM(AA150,AC150,AE150)&lt;=SUM(AB150,AD150,AF150),"CONFORME ✓",IF(SUM(AA150,AC150,AE150)&gt;SUM(AB150,AD150,AF150),"NÃO CONFORME ✗"))</f>
        <v/>
      </c>
      <c r="AH150" s="72" t="n">
        <v>3.5</v>
      </c>
      <c r="AI150" s="72" t="n">
        <v>3.5</v>
      </c>
      <c r="AJ150" s="72" t="n">
        <v>4</v>
      </c>
      <c r="AK150" s="7" t="inlineStr">
        <is>
          <t>REPOSICIONAR CABO SENSOR LHS; PADRONIZAÇÃO DA FIXAÇÃO DAS MANGUEIRAS DE DISGTRIBUIÇÃO</t>
        </is>
      </c>
      <c r="AL150" s="58">
        <f>IFERROR(CALCULOS!H145,"NECESSÁRIO REVISAR DATASHEET")</f>
        <v/>
      </c>
      <c r="AM15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0" s="64">
        <f>SUM(Tabela2[[#This Row],[Nota de Prioridade Quantitativa(NOTAS: 1 PIOR NOTA; 5 MELHOR NOTA)]],Tabela2[[#This Row],[Nota de Prioridade Qualitativa(NOTAS: 1 PIOR NOTA;  5 MELHOR NOTA)]])</f>
        <v/>
      </c>
      <c r="AO150" s="7" t="n">
        <v>152771</v>
      </c>
      <c r="AP150" s="64">
        <f>SUM(Tabela2[[#This Row],[Nota de Prioridade Quantitativa(NOTAS: 1 PIOR NOTA; 5 MELHOR NOTA)]],Tabela2[[#This Row],[Nota de Prioridade Qualitativa(NOTAS: 1 PIOR NOTA;  5 MELHOR NOTA)]])</f>
        <v/>
      </c>
      <c r="AQ150" s="7" t="inlineStr">
        <is>
          <t>Qualificado por Rennan</t>
        </is>
      </c>
      <c r="AR150" s="64">
        <f>SUM(Tabela2[[#This Row],[Nota de Prioridade Quantitativa(NOTAS: 1 PIOR NOTA; 5 MELHOR NOTA)]],Tabela2[[#This Row],[Nota de Prioridade Qualitativa(NOTAS: 1 PIOR NOTA;  5 MELHOR NOTA)]])</f>
        <v/>
      </c>
      <c r="AS150" s="7" t="n"/>
      <c r="AZ150" s="20">
        <f t="array" ref="AZ150">StatusCarga(G150,H150,J150,K150)</f>
        <v/>
      </c>
      <c r="BA150" s="20">
        <f>IF(AZ150="CONFORME","CONFORME ✓","NÃO CONFORME ✗")</f>
        <v/>
      </c>
      <c r="BB150" t="n">
        <v>0</v>
      </c>
      <c r="BC150" t="n">
        <v>25</v>
      </c>
      <c r="BD150" t="n">
        <v>0</v>
      </c>
      <c r="BE150" t="n">
        <v>0</v>
      </c>
      <c r="BF150" t="inlineStr">
        <is>
          <t>CONFORME</t>
        </is>
      </c>
    </row>
    <row r="151" hidden="1" ht="21.75" customHeight="1" thickBot="1">
      <c r="A151" s="77" t="inlineStr">
        <is>
          <t>Paraoupeba</t>
        </is>
      </c>
      <c r="B151" s="77" t="inlineStr">
        <is>
          <t>Fábrica</t>
        </is>
      </c>
      <c r="C151" s="80" t="inlineStr">
        <is>
          <t>PM3703</t>
        </is>
      </c>
      <c r="D151" s="80" t="inlineStr">
        <is>
          <t>AFEX</t>
        </is>
      </c>
      <c r="E151" s="78" t="inlineStr">
        <is>
          <t>CATERPILLAR</t>
        </is>
      </c>
      <c r="F151" s="80" t="inlineStr">
        <is>
          <t>CAT 992K</t>
        </is>
      </c>
      <c r="G151" s="81">
        <f>IFERROR(IF(F151=$AB$2,"",VLOOKUP(F151,'DATASHEET EQUIPAMENTOS'!D:N,2,FALSE)),"")</f>
        <v/>
      </c>
      <c r="H151" s="82" t="inlineStr">
        <is>
          <t>2x60lbs</t>
        </is>
      </c>
      <c r="I151" s="57">
        <f>_xlfn.XLOOKUP(Tabela2[[#This Row],[Modelo]],'DATASHEET EQUIPAMENTOS'!D:D,'DATASHEET EQUIPAMENTOS'!P:P,"",0,1)</f>
        <v/>
      </c>
      <c r="J151" s="81">
        <f>IF(F151=$Z$2,"",VLOOKUP(F151,'DATASHEET EQUIPAMENTOS'!D:N,3,FALSE))</f>
        <v/>
      </c>
      <c r="K151" s="85" t="inlineStr">
        <is>
          <t>1x5gal</t>
        </is>
      </c>
      <c r="L151" s="95">
        <f>IF(AZ151="CONFORME","CONFORME ✓","NÃO CONFORME ✗")</f>
        <v/>
      </c>
      <c r="M151" s="102">
        <f>IF(F151=$Z$2,"",VLOOKUP(F151,'DATASHEET EQUIPAMENTOS'!D:N,4,FALSE))</f>
        <v/>
      </c>
      <c r="N151" s="108" t="n">
        <v>4</v>
      </c>
      <c r="O151" s="102">
        <f>IF(F151=$Z$2,"",VLOOKUP(F151,'DATASHEET EQUIPAMENTOS'!D:N,5,FALSE))</f>
        <v/>
      </c>
      <c r="P151" s="103" t="n">
        <v>1</v>
      </c>
      <c r="Q151" s="102">
        <f>IF(F151=$Z$2,"",VLOOKUP(F151,'DATASHEET EQUIPAMENTOS'!D:N,6,FALSE))</f>
        <v/>
      </c>
      <c r="R151" s="104" t="n">
        <v>2</v>
      </c>
      <c r="S151" s="95">
        <f>IF(Tabela2[[#This Row],[Instalado Sensor Motor]]="Linear","CONFORME ✓",IF(SUM(M151,O151,Q151)&lt;SUM(N151,P151,R151),"CONFORME ✓",IF(SUM(M151,O151,Q151)=SUM(N151,P151,R151),"CONFORME ✓","NÃO CONFORME ✗")))</f>
        <v/>
      </c>
      <c r="T151" s="91">
        <f>IF(F151=$Z$2,"",VLOOKUP(F151,'DATASHEET EQUIPAMENTOS'!D:N,7,FALSE))</f>
        <v/>
      </c>
      <c r="U151" s="57" t="n">
        <v>12</v>
      </c>
      <c r="V151" s="56">
        <f>IF(F151=$Z$2,"",VLOOKUP(F151,'DATASHEET EQUIPAMENTOS'!D:N,8,FALSE))</f>
        <v/>
      </c>
      <c r="W151" s="57" t="n">
        <v>6</v>
      </c>
      <c r="X151" s="56">
        <f>IF(F151=$Z$2,"",VLOOKUP(F151,'DATASHEET EQUIPAMENTOS'!D:N,9,FALSE))</f>
        <v/>
      </c>
      <c r="Y151" s="57" t="n">
        <v>6</v>
      </c>
      <c r="Z151" s="57">
        <f>IF(SUM(T151,V151,X151)&lt;=SUM(U151,W151,Y151),"CONFORME ✓",IF(SUM(T151,V151,X151)&gt;SUM(U151,W151,Y151),"NÃO CONFORME ✗"))</f>
        <v/>
      </c>
      <c r="AA151" s="56">
        <f>IF(F151=$Z$2,"",VLOOKUP(F151,'DATASHEET EQUIPAMENTOS'!D:N,10,FALSE))</f>
        <v/>
      </c>
      <c r="AB151" s="57" t="n">
        <v>4</v>
      </c>
      <c r="AC151" s="56">
        <f>IF(F151=$Z$2,"",VLOOKUP(F151,'DATASHEET EQUIPAMENTOS'!D:N,11,FALSE))</f>
        <v/>
      </c>
      <c r="AD151" s="57" t="n"/>
      <c r="AE151" s="56">
        <f>IF(F151=$Z$2,"",VLOOKUP(F151,'DATASHEET EQUIPAMENTOS'!D:O,12,FALSE))</f>
        <v/>
      </c>
      <c r="AF151" s="57" t="n"/>
      <c r="AG151" s="57">
        <f>IF(SUM(AA151,AC151,AE151)&lt;=SUM(AB151,AD151,AF151),"CONFORME ✓",IF(SUM(AA151,AC151,AE151)&gt;SUM(AB151,AD151,AF151),"NÃO CONFORME ✗"))</f>
        <v/>
      </c>
      <c r="AH151" s="72" t="n"/>
      <c r="AI151" s="72" t="n"/>
      <c r="AJ151" s="72" t="n"/>
      <c r="AK151" s="7" t="inlineStr">
        <is>
          <t>OS TANQUES ESTAO DE ACORDO COM AS ESPECIFICAÇÕES,  SENSORES ESTAO DE ACORDO,  SOMENTE NO MOTOR QUE CONTÉM 1 A MAIS , NO CADERNO ESTA 3 LA ESTAO INSTALADOS 4 , BICOS DE LIQUIDOS ESTAO CONFORME .</t>
        </is>
      </c>
      <c r="AL151" s="58">
        <f>IFERROR(CALCULOS!H146,"NECESSÁRIO REVISAR DATASHEET")</f>
        <v/>
      </c>
      <c r="AM15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1" s="64">
        <f>SUM(Tabela2[[#This Row],[Nota de Prioridade Quantitativa(NOTAS: 1 PIOR NOTA; 5 MELHOR NOTA)]],Tabela2[[#This Row],[Nota de Prioridade Qualitativa(NOTAS: 1 PIOR NOTA;  5 MELHOR NOTA)]])</f>
        <v/>
      </c>
      <c r="AO151" s="7" t="n">
        <v>150904</v>
      </c>
      <c r="AP151" s="64">
        <f>SUM(Tabela2[[#This Row],[Nota de Prioridade Quantitativa(NOTAS: 1 PIOR NOTA; 5 MELHOR NOTA)]],Tabela2[[#This Row],[Nota de Prioridade Qualitativa(NOTAS: 1 PIOR NOTA;  5 MELHOR NOTA)]])</f>
        <v/>
      </c>
      <c r="AQ151" s="7" t="n"/>
      <c r="AR151" s="64">
        <f>SUM(Tabela2[[#This Row],[Nota de Prioridade Quantitativa(NOTAS: 1 PIOR NOTA; 5 MELHOR NOTA)]],Tabela2[[#This Row],[Nota de Prioridade Qualitativa(NOTAS: 1 PIOR NOTA;  5 MELHOR NOTA)]])</f>
        <v/>
      </c>
      <c r="AS151" s="7" t="n"/>
      <c r="AZ151" s="20">
        <f t="array" ref="AZ151">StatusCarga(G151,H151,J151,K151)</f>
        <v/>
      </c>
      <c r="BA151" s="20">
        <f>IF(AZ151="CONFORME","CONFORME ✓","NÃO CONFORME ✗")</f>
        <v/>
      </c>
      <c r="BB151" t="n">
        <v>0</v>
      </c>
      <c r="BC151" t="n">
        <v>120</v>
      </c>
      <c r="BD151" t="n">
        <v>0</v>
      </c>
      <c r="BE151" t="n">
        <v>5</v>
      </c>
      <c r="BF151" t="inlineStr">
        <is>
          <t>CONFORME</t>
        </is>
      </c>
    </row>
    <row r="152" hidden="1" ht="21.75" customHeight="1" thickBot="1">
      <c r="A152" s="77" t="inlineStr">
        <is>
          <t>VGR</t>
        </is>
      </c>
      <c r="B152" s="77" t="inlineStr">
        <is>
          <t>Tamanduá</t>
        </is>
      </c>
      <c r="C152" s="80" t="inlineStr">
        <is>
          <t>TE2418</t>
        </is>
      </c>
      <c r="D152" s="80" t="inlineStr">
        <is>
          <t>KIDDE</t>
        </is>
      </c>
      <c r="E152" s="78" t="inlineStr">
        <is>
          <t>CATERPILLAR</t>
        </is>
      </c>
      <c r="F152" s="80" t="inlineStr">
        <is>
          <t>CAT D10T</t>
        </is>
      </c>
      <c r="G152" s="81">
        <f>IFERROR(IF(F152=$AB$2,"",VLOOKUP(F152,'DATASHEET EQUIPAMENTOS'!D:N,2,FALSE)),"")</f>
        <v/>
      </c>
      <c r="H152" s="82" t="inlineStr">
        <is>
          <t>1x50lbs</t>
        </is>
      </c>
      <c r="I152" s="57">
        <f>_xlfn.XLOOKUP(Tabela2[[#This Row],[Modelo]],'DATASHEET EQUIPAMENTOS'!D:D,'DATASHEET EQUIPAMENTOS'!P:P,"",0,1)</f>
        <v/>
      </c>
      <c r="J152" s="81">
        <f>IF(F152=$Z$2,"",VLOOKUP(F152,'DATASHEET EQUIPAMENTOS'!D:N,3,FALSE))</f>
        <v/>
      </c>
      <c r="K152" s="85" t="n">
        <v>0</v>
      </c>
      <c r="L152" s="95">
        <f>IF(AZ152="CONFORME","CONFORME ✓","NÃO CONFORME ✗")</f>
        <v/>
      </c>
      <c r="M152" s="102">
        <f>IF(F152=$Z$2,"",VLOOKUP(F152,'DATASHEET EQUIPAMENTOS'!D:N,4,FALSE))</f>
        <v/>
      </c>
      <c r="N152" s="108" t="inlineStr">
        <is>
          <t>Linear</t>
        </is>
      </c>
      <c r="O152" s="102">
        <f>IF(F152=$Z$2,"",VLOOKUP(F152,'DATASHEET EQUIPAMENTOS'!D:N,5,FALSE))</f>
        <v/>
      </c>
      <c r="P152" s="103" t="inlineStr">
        <is>
          <t>Linear</t>
        </is>
      </c>
      <c r="Q152" s="102">
        <f>IF(F152=$Z$2,"",VLOOKUP(F152,'DATASHEET EQUIPAMENTOS'!D:N,6,FALSE))</f>
        <v/>
      </c>
      <c r="R152" s="104" t="inlineStr">
        <is>
          <t>Linear</t>
        </is>
      </c>
      <c r="S152" s="95">
        <f>IF(Tabela2[[#This Row],[Instalado Sensor Motor]]="Linear","CONFORME ✓",IF(SUM(M152,O152,Q152)&lt;SUM(N152,P152,R152),"CONFORME ✓",IF(SUM(M152,O152,Q152)=SUM(N152,P152,R152),"CONFORME ✓","NÃO CONFORME ✗")))</f>
        <v/>
      </c>
      <c r="T152" s="91">
        <f>IF(F152=$Z$2,"",VLOOKUP(F152,'DATASHEET EQUIPAMENTOS'!D:N,7,FALSE))</f>
        <v/>
      </c>
      <c r="U152" s="57" t="n">
        <v>5</v>
      </c>
      <c r="V152" s="56">
        <f>IF(F152=$Z$2,"",VLOOKUP(F152,'DATASHEET EQUIPAMENTOS'!D:N,8,FALSE))</f>
        <v/>
      </c>
      <c r="W152" s="62" t="n">
        <v>2</v>
      </c>
      <c r="X152" s="56">
        <f>IF(F152=$Z$2,"",VLOOKUP(F152,'DATASHEET EQUIPAMENTOS'!D:N,9,FALSE))</f>
        <v/>
      </c>
      <c r="Y152" s="57" t="n">
        <v>0</v>
      </c>
      <c r="Z152" s="57">
        <f>IF(SUM(T152,V152,X152)&lt;=SUM(U152,W152,Y152),"CONFORME ✓",IF(SUM(T152,V152,X152)&gt;SUM(U152,W152,Y152),"NÃO CONFORME ✗"))</f>
        <v/>
      </c>
      <c r="AA152" s="56">
        <f>IF(F152=$Z$2,"",VLOOKUP(F152,'DATASHEET EQUIPAMENTOS'!D:N,10,FALSE))</f>
        <v/>
      </c>
      <c r="AB152" s="57" t="n">
        <v>0</v>
      </c>
      <c r="AC152" s="56">
        <f>IF(F152=$Z$2,"",VLOOKUP(F152,'DATASHEET EQUIPAMENTOS'!D:N,11,FALSE))</f>
        <v/>
      </c>
      <c r="AD152" s="57" t="n">
        <v>0</v>
      </c>
      <c r="AE152" s="56">
        <f>IF(F152=$Z$2,"",VLOOKUP(F152,'DATASHEET EQUIPAMENTOS'!D:O,12,FALSE))</f>
        <v/>
      </c>
      <c r="AF152" s="57" t="n">
        <v>0</v>
      </c>
      <c r="AG152" s="57">
        <f>IF(SUM(AA152,AC152,AE152)&lt;=SUM(AB152,AD152,AF152),"CONFORME ✓",IF(SUM(AA152,AC152,AE152)&gt;SUM(AB152,AD152,AF152),"NÃO CONFORME ✗"))</f>
        <v/>
      </c>
      <c r="AH152" s="72" t="n">
        <v>2</v>
      </c>
      <c r="AI152" s="72" t="n">
        <v>4.5</v>
      </c>
      <c r="AJ152" s="72" t="n">
        <v>5</v>
      </c>
      <c r="AK152" s="7" t="inlineStr">
        <is>
          <t>NAO POSSUI CILINDRO DE LÍQUIDO; FAZER NOVA ROTA DE CABEAMENTO COM FIXAÇÕES ADEQUADAS</t>
        </is>
      </c>
      <c r="AL152" s="58">
        <f>IFERROR(CALCULOS!H147,"NECESSÁRIO REVISAR DATASHEET")</f>
        <v/>
      </c>
      <c r="AM15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2" s="64">
        <f>SUM(Tabela2[[#This Row],[Nota de Prioridade Quantitativa(NOTAS: 1 PIOR NOTA; 5 MELHOR NOTA)]],Tabela2[[#This Row],[Nota de Prioridade Qualitativa(NOTAS: 1 PIOR NOTA;  5 MELHOR NOTA)]])</f>
        <v/>
      </c>
      <c r="AO152" s="7" t="n">
        <v>149762</v>
      </c>
      <c r="AP152" s="64">
        <f>SUM(Tabela2[[#This Row],[Nota de Prioridade Quantitativa(NOTAS: 1 PIOR NOTA; 5 MELHOR NOTA)]],Tabela2[[#This Row],[Nota de Prioridade Qualitativa(NOTAS: 1 PIOR NOTA;  5 MELHOR NOTA)]])</f>
        <v/>
      </c>
      <c r="AQ152" s="7" t="n"/>
      <c r="AR152" s="64">
        <f>SUM(Tabela2[[#This Row],[Nota de Prioridade Quantitativa(NOTAS: 1 PIOR NOTA; 5 MELHOR NOTA)]],Tabela2[[#This Row],[Nota de Prioridade Qualitativa(NOTAS: 1 PIOR NOTA;  5 MELHOR NOTA)]])</f>
        <v/>
      </c>
      <c r="AS152" s="7" t="inlineStr">
        <is>
          <t>EDITAR RELATORIO</t>
        </is>
      </c>
      <c r="AZ152" s="20">
        <f t="array" ref="AZ152">StatusCarga(G152,H152,J152,K152)</f>
        <v/>
      </c>
      <c r="BA152" s="20">
        <f>IF(AZ152="CONFORME","CONFORME ✓","NÃO CONFORME ✗")</f>
        <v/>
      </c>
      <c r="BB152" t="n">
        <v>0</v>
      </c>
      <c r="BC152" t="n">
        <v>50</v>
      </c>
      <c r="BD152" t="n">
        <v>0</v>
      </c>
      <c r="BE152" t="n">
        <v>0</v>
      </c>
      <c r="BF152" t="inlineStr">
        <is>
          <t>CONFORME</t>
        </is>
      </c>
    </row>
    <row r="153" hidden="1" ht="21.75" customHeight="1" thickBot="1">
      <c r="A153" s="77" t="inlineStr">
        <is>
          <t>Paraoupeba</t>
        </is>
      </c>
      <c r="B153" s="77" t="inlineStr">
        <is>
          <t>Fábrica</t>
        </is>
      </c>
      <c r="C153" s="80" t="inlineStr">
        <is>
          <t>TE2410</t>
        </is>
      </c>
      <c r="D153" s="80" t="inlineStr">
        <is>
          <t>AFEX</t>
        </is>
      </c>
      <c r="E153" s="78" t="inlineStr">
        <is>
          <t>CATERPILLAR</t>
        </is>
      </c>
      <c r="F153" s="80" t="inlineStr">
        <is>
          <t>CAT D10T</t>
        </is>
      </c>
      <c r="G153" s="81">
        <f>IFERROR(IF(F153=$AB$2,"",VLOOKUP(F153,'DATASHEET EQUIPAMENTOS'!D:N,2,FALSE)),"")</f>
        <v/>
      </c>
      <c r="H153" s="82" t="inlineStr">
        <is>
          <t>2x30lbs</t>
        </is>
      </c>
      <c r="I153" s="57">
        <f>_xlfn.XLOOKUP(Tabela2[[#This Row],[Modelo]],'DATASHEET EQUIPAMENTOS'!D:D,'DATASHEET EQUIPAMENTOS'!P:P,"",0,1)</f>
        <v/>
      </c>
      <c r="J153" s="81">
        <f>IF(F153=$Z$2,"",VLOOKUP(F153,'DATASHEET EQUIPAMENTOS'!D:N,3,FALSE))</f>
        <v/>
      </c>
      <c r="K153" s="85" t="n">
        <v>0</v>
      </c>
      <c r="L153" s="95">
        <f>IF(AZ153="CONFORME","CONFORME ✓","NÃO CONFORME ✗")</f>
        <v/>
      </c>
      <c r="M153" s="102">
        <f>IF(F153=$Z$2,"",VLOOKUP(F153,'DATASHEET EQUIPAMENTOS'!D:N,4,FALSE))</f>
        <v/>
      </c>
      <c r="N153" s="108" t="n">
        <v>4</v>
      </c>
      <c r="O153" s="102">
        <f>IF(F153=$Z$2,"",VLOOKUP(F153,'DATASHEET EQUIPAMENTOS'!D:N,5,FALSE))</f>
        <v/>
      </c>
      <c r="P153" s="103" t="n">
        <v>1</v>
      </c>
      <c r="Q153" s="102">
        <f>IF(F153=$Z$2,"",VLOOKUP(F153,'DATASHEET EQUIPAMENTOS'!D:N,6,FALSE))</f>
        <v/>
      </c>
      <c r="R153" s="104" t="n">
        <v>2</v>
      </c>
      <c r="S153" s="95">
        <f>IF(Tabela2[[#This Row],[Instalado Sensor Motor]]="Linear","CONFORME ✓",IF(SUM(M153,O153,Q153)&lt;SUM(N153,P153,R153),"CONFORME ✓",IF(SUM(M153,O153,Q153)=SUM(N153,P153,R153),"CONFORME ✓","NÃO CONFORME ✗")))</f>
        <v/>
      </c>
      <c r="T153" s="91">
        <f>IF(F153=$Z$2,"",VLOOKUP(F153,'DATASHEET EQUIPAMENTOS'!D:N,7,FALSE))</f>
        <v/>
      </c>
      <c r="U153" s="57" t="n">
        <v>6</v>
      </c>
      <c r="V153" s="56">
        <f>IF(F153=$Z$2,"",VLOOKUP(F153,'DATASHEET EQUIPAMENTOS'!D:N,8,FALSE))</f>
        <v/>
      </c>
      <c r="W153" s="57" t="n"/>
      <c r="X153" s="56">
        <f>IF(F153=$Z$2,"",VLOOKUP(F153,'DATASHEET EQUIPAMENTOS'!D:N,9,FALSE))</f>
        <v/>
      </c>
      <c r="Y153" s="57" t="n">
        <v>6</v>
      </c>
      <c r="Z153" s="57">
        <f>IF(SUM(T153,V153,X153)&lt;=SUM(U153,W153,Y153),"CONFORME ✓",IF(SUM(T153,V153,X153)&gt;SUM(U153,W153,Y153),"NÃO CONFORME ✗"))</f>
        <v/>
      </c>
      <c r="AA153" s="56">
        <f>IF(F153=$Z$2,"",VLOOKUP(F153,'DATASHEET EQUIPAMENTOS'!D:N,10,FALSE))</f>
        <v/>
      </c>
      <c r="AB153" s="57" t="n"/>
      <c r="AC153" s="56">
        <f>IF(F153=$Z$2,"",VLOOKUP(F153,'DATASHEET EQUIPAMENTOS'!D:N,11,FALSE))</f>
        <v/>
      </c>
      <c r="AD153" s="57" t="n"/>
      <c r="AE153" s="56">
        <f>IF(F153=$Z$2,"",VLOOKUP(F153,'DATASHEET EQUIPAMENTOS'!D:O,12,FALSE))</f>
        <v/>
      </c>
      <c r="AF153" s="57" t="n"/>
      <c r="AG153" s="57">
        <f>IF(SUM(AA153,AC153,AE153)&lt;=SUM(AB153,AD153,AF153),"CONFORME ✓",IF(SUM(AA153,AC153,AE153)&gt;SUM(AB153,AD153,AF153),"NÃO CONFORME ✗"))</f>
        <v/>
      </c>
      <c r="AH153" s="72" t="n"/>
      <c r="AI153" s="72" t="n"/>
      <c r="AJ153" s="72" t="n"/>
      <c r="AK153" s="7" t="inlineStr">
        <is>
          <t>DE ACORDO COM LAYOUT DISPONIBILIZADO BELA GHT , OS TANQUES INSTALADOS NO EQUIPAMENTO ESTAO INCORRETOS, POIS ESTAO INTALADOS DOIS TANQUES DE 30LBS, E NO LAYOUT ESTA 1 TANQUE DE 5GAL, E OUTRO DE 60 LBS, OS SENSORES TAMBEM ESTAO DIVERGENTES .</t>
        </is>
      </c>
      <c r="AL153" s="58">
        <f>IFERROR(CALCULOS!H148,"NECESSÁRIO REVISAR DATASHEET")</f>
        <v/>
      </c>
      <c r="AM15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3" s="64">
        <f>SUM(Tabela2[[#This Row],[Nota de Prioridade Quantitativa(NOTAS: 1 PIOR NOTA; 5 MELHOR NOTA)]],Tabela2[[#This Row],[Nota de Prioridade Qualitativa(NOTAS: 1 PIOR NOTA;  5 MELHOR NOTA)]])</f>
        <v/>
      </c>
      <c r="AO153" s="7" t="n">
        <v>151784</v>
      </c>
      <c r="AP153" s="64">
        <f>SUM(Tabela2[[#This Row],[Nota de Prioridade Quantitativa(NOTAS: 1 PIOR NOTA; 5 MELHOR NOTA)]],Tabela2[[#This Row],[Nota de Prioridade Qualitativa(NOTAS: 1 PIOR NOTA;  5 MELHOR NOTA)]])</f>
        <v/>
      </c>
      <c r="AQ153" s="7" t="n"/>
      <c r="AR153" s="64">
        <f>SUM(Tabela2[[#This Row],[Nota de Prioridade Quantitativa(NOTAS: 1 PIOR NOTA; 5 MELHOR NOTA)]],Tabela2[[#This Row],[Nota de Prioridade Qualitativa(NOTAS: 1 PIOR NOTA;  5 MELHOR NOTA)]])</f>
        <v/>
      </c>
      <c r="AS153" s="7" t="n"/>
      <c r="AZ153" s="20">
        <f t="array" ref="AZ153">StatusCarga(G153,H153,J153,K153)</f>
        <v/>
      </c>
      <c r="BA153" s="20">
        <f>IF(AZ153="CONFORME","CONFORME ✓","NÃO CONFORME ✗")</f>
        <v/>
      </c>
      <c r="BB153" t="n">
        <v>0</v>
      </c>
      <c r="BC153" t="n">
        <v>60</v>
      </c>
      <c r="BD153" t="n">
        <v>0</v>
      </c>
      <c r="BE153" t="n">
        <v>0</v>
      </c>
      <c r="BF153" t="inlineStr">
        <is>
          <t>CONFORME</t>
        </is>
      </c>
    </row>
    <row r="154" hidden="1" ht="21.75" customHeight="1" thickBot="1">
      <c r="A154" s="77" t="inlineStr">
        <is>
          <t>Paraoupeba</t>
        </is>
      </c>
      <c r="B154" s="77" t="inlineStr">
        <is>
          <t>Fábrica</t>
        </is>
      </c>
      <c r="C154" s="80" t="inlineStr">
        <is>
          <t>TE4661</t>
        </is>
      </c>
      <c r="D154" s="80" t="inlineStr">
        <is>
          <t>KIDDE</t>
        </is>
      </c>
      <c r="E154" s="78" t="inlineStr">
        <is>
          <t>CATERPILLAR</t>
        </is>
      </c>
      <c r="F154" s="80" t="inlineStr">
        <is>
          <t>CAT D6T</t>
        </is>
      </c>
      <c r="G154" s="81">
        <f>IFERROR(IF(F154=$AB$2,"",VLOOKUP(F154,'DATASHEET EQUIPAMENTOS'!D:N,2,FALSE)),"")</f>
        <v/>
      </c>
      <c r="H154" s="82" t="inlineStr">
        <is>
          <t>1x25lbs</t>
        </is>
      </c>
      <c r="I154" s="57">
        <f>_xlfn.XLOOKUP(Tabela2[[#This Row],[Modelo]],'DATASHEET EQUIPAMENTOS'!D:D,'DATASHEET EQUIPAMENTOS'!P:P,"",0,1)</f>
        <v/>
      </c>
      <c r="J154" s="81">
        <f>IF(F154=$Z$2,"",VLOOKUP(F154,'DATASHEET EQUIPAMENTOS'!D:N,3,FALSE))</f>
        <v/>
      </c>
      <c r="K154" s="85" t="inlineStr">
        <is>
          <t>1x5gal</t>
        </is>
      </c>
      <c r="L154" s="95">
        <f>IF(AZ154="CONFORME","CONFORME ✓","NÃO CONFORME ✗")</f>
        <v/>
      </c>
      <c r="M154" s="102">
        <f>IF(F154=$Z$2,"",VLOOKUP(F154,'DATASHEET EQUIPAMENTOS'!D:N,4,FALSE))</f>
        <v/>
      </c>
      <c r="N154" s="108" t="inlineStr">
        <is>
          <t>Linear</t>
        </is>
      </c>
      <c r="O154" s="102">
        <f>IF(F154=$Z$2,"",VLOOKUP(F154,'DATASHEET EQUIPAMENTOS'!D:N,5,FALSE))</f>
        <v/>
      </c>
      <c r="P154" s="103" t="n"/>
      <c r="Q154" s="102">
        <f>IF(F154=$Z$2,"",VLOOKUP(F154,'DATASHEET EQUIPAMENTOS'!D:N,6,FALSE))</f>
        <v/>
      </c>
      <c r="R154" s="104" t="n"/>
      <c r="S154" s="95">
        <f>IF(Tabela2[[#This Row],[Instalado Sensor Motor]]="Linear","CONFORME ✓",IF(SUM(M154,O154,Q154)&lt;SUM(N154,P154,R154),"CONFORME ✓",IF(SUM(M154,O154,Q154)=SUM(N154,P154,R154),"CONFORME ✓","NÃO CONFORME ✗")))</f>
        <v/>
      </c>
      <c r="T154" s="91">
        <f>IF(F154=$Z$2,"",VLOOKUP(F154,'DATASHEET EQUIPAMENTOS'!D:N,7,FALSE))</f>
        <v/>
      </c>
      <c r="U154" s="57" t="n">
        <v>3</v>
      </c>
      <c r="V154" s="56">
        <f>IF(F154=$Z$2,"",VLOOKUP(F154,'DATASHEET EQUIPAMENTOS'!D:N,8,FALSE))</f>
        <v/>
      </c>
      <c r="W154" s="57" t="n">
        <v>2</v>
      </c>
      <c r="X154" s="56">
        <f>IF(F154=$Z$2,"",VLOOKUP(F154,'DATASHEET EQUIPAMENTOS'!D:N,9,FALSE))</f>
        <v/>
      </c>
      <c r="Y154" s="57" t="n"/>
      <c r="Z154" s="57">
        <f>IF(SUM(T154,V154,X154)&lt;=SUM(U154,W154,Y154),"CONFORME ✓",IF(SUM(T154,V154,X154)&gt;SUM(U154,W154,Y154),"NÃO CONFORME ✗"))</f>
        <v/>
      </c>
      <c r="AA154" s="56">
        <f>IF(F154=$Z$2,"",VLOOKUP(F154,'DATASHEET EQUIPAMENTOS'!D:N,10,FALSE))</f>
        <v/>
      </c>
      <c r="AB154" s="57" t="n">
        <v>3</v>
      </c>
      <c r="AC154" s="56">
        <f>IF(F154=$Z$2,"",VLOOKUP(F154,'DATASHEET EQUIPAMENTOS'!D:N,11,FALSE))</f>
        <v/>
      </c>
      <c r="AD154" s="57" t="n"/>
      <c r="AE154" s="56">
        <f>IF(F154=$Z$2,"",VLOOKUP(F154,'DATASHEET EQUIPAMENTOS'!D:O,12,FALSE))</f>
        <v/>
      </c>
      <c r="AF154" s="57" t="n"/>
      <c r="AG154" s="57">
        <f>IF(SUM(AA154,AC154,AE154)&lt;=SUM(AB154,AD154,AF154),"CONFORME ✓",IF(SUM(AA154,AC154,AE154)&gt;SUM(AB154,AD154,AF154),"NÃO CONFORME ✗"))</f>
        <v/>
      </c>
      <c r="AH154" s="72" t="n"/>
      <c r="AI154" s="72" t="n"/>
      <c r="AJ154" s="72" t="n"/>
      <c r="AK154" s="7" t="inlineStr">
        <is>
          <t>DE ACORDO COM LAYOUT DISPONIBILIZADO PELA GHT, ESTA FALTANDO UM BICO DE PQS , POIS O TANQUE DE 25 LBS ALIMENTA 6 BICOS E SO CONTÉM INSTALADO 5. ESTA FALTANDO TAMBEM 1 BICO DE AGENTE LÍQUIDO, POIS O TANQUE DE 5 GAL TEM QUE ALIMENTAR 4 TEM SOMENTE 3 . INDENTIFICADO TAMBEM QUE SERA NECESSÁRIO COM URGÊNCIA MELHORAR O LAYOUT DO CABO DE DETECÇÃO,POIS O MESMO ESTA EM ATRITO E MAL FIXO.</t>
        </is>
      </c>
      <c r="AL154" s="58">
        <f>IFERROR(CALCULOS!H149,"NECESSÁRIO REVISAR DATASHEET")</f>
        <v/>
      </c>
      <c r="AM15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4" s="64">
        <f>SUM(Tabela2[[#This Row],[Nota de Prioridade Quantitativa(NOTAS: 1 PIOR NOTA; 5 MELHOR NOTA)]],Tabela2[[#This Row],[Nota de Prioridade Qualitativa(NOTAS: 1 PIOR NOTA;  5 MELHOR NOTA)]])</f>
        <v/>
      </c>
      <c r="AO154" s="7" t="n">
        <v>152319</v>
      </c>
      <c r="AP154" s="64">
        <f>SUM(Tabela2[[#This Row],[Nota de Prioridade Quantitativa(NOTAS: 1 PIOR NOTA; 5 MELHOR NOTA)]],Tabela2[[#This Row],[Nota de Prioridade Qualitativa(NOTAS: 1 PIOR NOTA;  5 MELHOR NOTA)]])</f>
        <v/>
      </c>
      <c r="AQ154" s="7" t="n"/>
      <c r="AR154" s="64">
        <f>SUM(Tabela2[[#This Row],[Nota de Prioridade Quantitativa(NOTAS: 1 PIOR NOTA; 5 MELHOR NOTA)]],Tabela2[[#This Row],[Nota de Prioridade Qualitativa(NOTAS: 1 PIOR NOTA;  5 MELHOR NOTA)]])</f>
        <v/>
      </c>
      <c r="AS154" s="7" t="n"/>
      <c r="AZ154" s="20">
        <f t="array" ref="AZ154">StatusCarga(G154,H154,J154,K154)</f>
        <v/>
      </c>
      <c r="BA154" s="20">
        <f>IF(AZ154="CONFORME","CONFORME ✓","NÃO CONFORME ✗")</f>
        <v/>
      </c>
      <c r="BB154" t="n">
        <v>0</v>
      </c>
      <c r="BC154" t="n">
        <v>25</v>
      </c>
      <c r="BD154" t="n">
        <v>0</v>
      </c>
      <c r="BE154" t="n">
        <v>5</v>
      </c>
      <c r="BF154" t="inlineStr">
        <is>
          <t>CONFORME</t>
        </is>
      </c>
    </row>
    <row r="155" hidden="1" ht="21.75" customHeight="1" thickBot="1">
      <c r="A155" s="77" t="inlineStr">
        <is>
          <t>Paraoupeba</t>
        </is>
      </c>
      <c r="B155" s="77" t="inlineStr">
        <is>
          <t>Jangada</t>
        </is>
      </c>
      <c r="C155" s="80" t="inlineStr">
        <is>
          <t>PM7502</t>
        </is>
      </c>
      <c r="D155" s="80" t="inlineStr">
        <is>
          <t>AFEX</t>
        </is>
      </c>
      <c r="E155" s="78" t="inlineStr">
        <is>
          <t>KOMATSU</t>
        </is>
      </c>
      <c r="F155" s="80" t="inlineStr">
        <is>
          <t>Komatsu WA500</t>
        </is>
      </c>
      <c r="G155" s="81">
        <f>IFERROR(IF(F155=$AB$2,"",VLOOKUP(F155,'DATASHEET EQUIPAMENTOS'!D:N,2,FALSE)),"")</f>
        <v/>
      </c>
      <c r="H155" s="82" t="inlineStr">
        <is>
          <t>1x60lbs</t>
        </is>
      </c>
      <c r="I155" s="57">
        <f>_xlfn.XLOOKUP(Tabela2[[#This Row],[Modelo]],'DATASHEET EQUIPAMENTOS'!D:D,'DATASHEET EQUIPAMENTOS'!P:P,"",0,1)</f>
        <v/>
      </c>
      <c r="J155" s="81">
        <f>IF(F155=$Z$2,"",VLOOKUP(F155,'DATASHEET EQUIPAMENTOS'!D:N,3,FALSE))</f>
        <v/>
      </c>
      <c r="K155" s="85" t="n">
        <v>0</v>
      </c>
      <c r="L155" s="95">
        <f>IF(AZ155="CONFORME","CONFORME ✓","NÃO CONFORME ✗")</f>
        <v/>
      </c>
      <c r="M155" s="102">
        <f>IF(F155=$Z$2,"",VLOOKUP(F155,'DATASHEET EQUIPAMENTOS'!D:N,4,FALSE))</f>
        <v/>
      </c>
      <c r="N155" s="108" t="n">
        <v>6</v>
      </c>
      <c r="O155" s="102">
        <f>IF(F155=$Z$2,"",VLOOKUP(F155,'DATASHEET EQUIPAMENTOS'!D:N,5,FALSE))</f>
        <v/>
      </c>
      <c r="P155" s="103" t="n"/>
      <c r="Q155" s="102">
        <f>IF(F155=$Z$2,"",VLOOKUP(F155,'DATASHEET EQUIPAMENTOS'!D:N,6,FALSE))</f>
        <v/>
      </c>
      <c r="R155" s="104" t="n"/>
      <c r="S155" s="95">
        <f>IF(Tabela2[[#This Row],[Instalado Sensor Motor]]="Linear","CONFORME ✓",IF(SUM(M155,O155,Q155)&lt;SUM(N155,P155,R155),"CONFORME ✓",IF(SUM(M155,O155,Q155)=SUM(N155,P155,R155),"CONFORME ✓","NÃO CONFORME ✗")))</f>
        <v/>
      </c>
      <c r="T155" s="91">
        <f>IF(F155=$Z$2,"",VLOOKUP(F155,'DATASHEET EQUIPAMENTOS'!D:N,7,FALSE))</f>
        <v/>
      </c>
      <c r="U155" s="57" t="n">
        <v>12</v>
      </c>
      <c r="V155" s="56">
        <f>IF(F155=$Z$2,"",VLOOKUP(F155,'DATASHEET EQUIPAMENTOS'!D:N,8,FALSE))</f>
        <v/>
      </c>
      <c r="W155" s="57" t="n"/>
      <c r="X155" s="56">
        <f>IF(F155=$Z$2,"",VLOOKUP(F155,'DATASHEET EQUIPAMENTOS'!D:N,9,FALSE))</f>
        <v/>
      </c>
      <c r="Y155" s="57" t="n"/>
      <c r="Z155" s="57">
        <f>IF(SUM(T155,V155,X155)&lt;=SUM(U155,W155,Y155),"CONFORME ✓",IF(SUM(T155,V155,X155)&gt;SUM(U155,W155,Y155),"NÃO CONFORME ✗"))</f>
        <v/>
      </c>
      <c r="AA155" s="56">
        <f>IF(F155=$Z$2,"",VLOOKUP(F155,'DATASHEET EQUIPAMENTOS'!D:N,10,FALSE))</f>
        <v/>
      </c>
      <c r="AB155" s="57" t="n"/>
      <c r="AC155" s="56">
        <f>IF(F155=$Z$2,"",VLOOKUP(F155,'DATASHEET EQUIPAMENTOS'!D:N,11,FALSE))</f>
        <v/>
      </c>
      <c r="AD155" s="57" t="n"/>
      <c r="AE155" s="56">
        <f>IF(F155=$Z$2,"",VLOOKUP(F155,'DATASHEET EQUIPAMENTOS'!D:O,12,FALSE))</f>
        <v/>
      </c>
      <c r="AF155" s="57" t="n"/>
      <c r="AG155" s="57">
        <f>IF(SUM(AA155,AC155,AE155)&lt;=SUM(AB155,AD155,AF155),"CONFORME ✓",IF(SUM(AA155,AC155,AE155)&gt;SUM(AB155,AD155,AF155),"NÃO CONFORME ✗"))</f>
        <v/>
      </c>
      <c r="AH155" s="72" t="n"/>
      <c r="AI155" s="72" t="n"/>
      <c r="AJ155" s="72" t="n"/>
      <c r="AK155" s="7" t="inlineStr">
        <is>
          <t>FOI REALIZADA A INSPEÇÃO CONFORME O LAYOUT</t>
        </is>
      </c>
      <c r="AL155" s="58">
        <f>IFERROR(CALCULOS!H150,"NECESSÁRIO REVISAR DATASHEET")</f>
        <v/>
      </c>
      <c r="AM15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5" s="64">
        <f>SUM(Tabela2[[#This Row],[Nota de Prioridade Quantitativa(NOTAS: 1 PIOR NOTA; 5 MELHOR NOTA)]],Tabela2[[#This Row],[Nota de Prioridade Qualitativa(NOTAS: 1 PIOR NOTA;  5 MELHOR NOTA)]])</f>
        <v/>
      </c>
      <c r="AO155" s="7" t="n">
        <v>151861</v>
      </c>
      <c r="AP155" s="64">
        <f>SUM(Tabela2[[#This Row],[Nota de Prioridade Quantitativa(NOTAS: 1 PIOR NOTA; 5 MELHOR NOTA)]],Tabela2[[#This Row],[Nota de Prioridade Qualitativa(NOTAS: 1 PIOR NOTA;  5 MELHOR NOTA)]])</f>
        <v/>
      </c>
      <c r="AQ155" s="7" t="n"/>
      <c r="AR155" s="64">
        <f>SUM(Tabela2[[#This Row],[Nota de Prioridade Quantitativa(NOTAS: 1 PIOR NOTA; 5 MELHOR NOTA)]],Tabela2[[#This Row],[Nota de Prioridade Qualitativa(NOTAS: 1 PIOR NOTA;  5 MELHOR NOTA)]])</f>
        <v/>
      </c>
      <c r="AS155" s="7" t="n"/>
      <c r="AZ155" s="20">
        <f t="array" ref="AZ155">StatusCarga(G155,H155,J155,K155)</f>
        <v/>
      </c>
      <c r="BA155" s="20">
        <f>IF(AZ155="CONFORME","CONFORME ✓","NÃO CONFORME ✗")</f>
        <v/>
      </c>
      <c r="BB155" t="n">
        <v>0</v>
      </c>
      <c r="BC155" t="n">
        <v>60</v>
      </c>
      <c r="BD155" t="n">
        <v>0</v>
      </c>
      <c r="BE155" t="n">
        <v>0</v>
      </c>
      <c r="BF155" t="inlineStr">
        <is>
          <t>CONFORME</t>
        </is>
      </c>
    </row>
    <row r="156" hidden="1" ht="21.75" customHeight="1" thickBot="1">
      <c r="A156" s="77" t="inlineStr">
        <is>
          <t>Paraoupeba</t>
        </is>
      </c>
      <c r="B156" s="77" t="inlineStr">
        <is>
          <t>Horizontes</t>
        </is>
      </c>
      <c r="C156" s="80" t="inlineStr">
        <is>
          <t>TE4611</t>
        </is>
      </c>
      <c r="D156" s="80" t="inlineStr">
        <is>
          <t>KIDDE</t>
        </is>
      </c>
      <c r="E156" s="78" t="inlineStr">
        <is>
          <t>CATERPILLAR</t>
        </is>
      </c>
      <c r="F156" s="80" t="inlineStr">
        <is>
          <t>CAT D6T</t>
        </is>
      </c>
      <c r="G156" s="81">
        <f>IFERROR(IF(F156=$AB$2,"",VLOOKUP(F156,'DATASHEET EQUIPAMENTOS'!D:N,2,FALSE)),"")</f>
        <v/>
      </c>
      <c r="H156" s="82" t="inlineStr">
        <is>
          <t>1x25lbs</t>
        </is>
      </c>
      <c r="I156" s="57">
        <f>_xlfn.XLOOKUP(Tabela2[[#This Row],[Modelo]],'DATASHEET EQUIPAMENTOS'!D:D,'DATASHEET EQUIPAMENTOS'!P:P,"",0,1)</f>
        <v/>
      </c>
      <c r="J156" s="81">
        <f>IF(F156=$Z$2,"",VLOOKUP(F156,'DATASHEET EQUIPAMENTOS'!D:N,3,FALSE))</f>
        <v/>
      </c>
      <c r="K156" s="85" t="n">
        <v>0</v>
      </c>
      <c r="L156" s="95">
        <f>IF(AZ156="CONFORME","CONFORME ✓","NÃO CONFORME ✗")</f>
        <v/>
      </c>
      <c r="M156" s="102">
        <f>IF(F156=$Z$2,"",VLOOKUP(F156,'DATASHEET EQUIPAMENTOS'!D:N,4,FALSE))</f>
        <v/>
      </c>
      <c r="N156" s="108" t="inlineStr">
        <is>
          <t>Linear</t>
        </is>
      </c>
      <c r="O156" s="102">
        <f>IF(F156=$Z$2,"",VLOOKUP(F156,'DATASHEET EQUIPAMENTOS'!D:N,5,FALSE))</f>
        <v/>
      </c>
      <c r="P156" s="103" t="n"/>
      <c r="Q156" s="102">
        <f>IF(F156=$Z$2,"",VLOOKUP(F156,'DATASHEET EQUIPAMENTOS'!D:N,6,FALSE))</f>
        <v/>
      </c>
      <c r="R156" s="104" t="n"/>
      <c r="S156" s="95">
        <f>IF(Tabela2[[#This Row],[Instalado Sensor Motor]]="Linear","CONFORME ✓",IF(SUM(M156,O156,Q156)&lt;SUM(N156,P156,R156),"CONFORME ✓",IF(SUM(M156,O156,Q156)=SUM(N156,P156,R156),"CONFORME ✓","NÃO CONFORME ✗")))</f>
        <v/>
      </c>
      <c r="T156" s="91">
        <f>IF(F156=$Z$2,"",VLOOKUP(F156,'DATASHEET EQUIPAMENTOS'!D:N,7,FALSE))</f>
        <v/>
      </c>
      <c r="U156" s="57" t="n">
        <v>6</v>
      </c>
      <c r="V156" s="56">
        <f>IF(F156=$Z$2,"",VLOOKUP(F156,'DATASHEET EQUIPAMENTOS'!D:N,8,FALSE))</f>
        <v/>
      </c>
      <c r="W156" s="57" t="n">
        <v>0</v>
      </c>
      <c r="X156" s="56">
        <f>IF(F156=$Z$2,"",VLOOKUP(F156,'DATASHEET EQUIPAMENTOS'!D:N,9,FALSE))</f>
        <v/>
      </c>
      <c r="Y156" s="57" t="n">
        <v>0</v>
      </c>
      <c r="Z156" s="57">
        <f>IF(SUM(T156,V156,X156)&lt;=SUM(U156,W156,Y156),"CONFORME ✓",IF(SUM(T156,V156,X156)&gt;SUM(U156,W156,Y156),"NÃO CONFORME ✗"))</f>
        <v/>
      </c>
      <c r="AA156" s="56">
        <f>IF(F156=$Z$2,"",VLOOKUP(F156,'DATASHEET EQUIPAMENTOS'!D:N,10,FALSE))</f>
        <v/>
      </c>
      <c r="AB156" s="57" t="n">
        <v>0</v>
      </c>
      <c r="AC156" s="56">
        <f>IF(F156=$Z$2,"",VLOOKUP(F156,'DATASHEET EQUIPAMENTOS'!D:N,11,FALSE))</f>
        <v/>
      </c>
      <c r="AD156" s="57" t="n">
        <v>0</v>
      </c>
      <c r="AE156" s="56">
        <f>IF(F156=$Z$2,"",VLOOKUP(F156,'DATASHEET EQUIPAMENTOS'!D:O,12,FALSE))</f>
        <v/>
      </c>
      <c r="AF156" s="57" t="n">
        <v>0</v>
      </c>
      <c r="AG156" s="57">
        <f>IF(SUM(AA156,AC156,AE156)&lt;=SUM(AB156,AD156,AF156),"CONFORME ✓",IF(SUM(AA156,AC156,AE156)&gt;SUM(AB156,AD156,AF156),"NÃO CONFORME ✗"))</f>
        <v/>
      </c>
      <c r="AH156" s="72" t="n">
        <v>2.5</v>
      </c>
      <c r="AI156" s="72" t="n">
        <v>4</v>
      </c>
      <c r="AJ156" s="72" t="n">
        <v>5</v>
      </c>
      <c r="AK156" s="7" t="inlineStr">
        <is>
          <t>O EQUIPAMENTO NAO POSSUI O CILINDRO DE AGENTE LÍQUIDO, ACRESCENTAR QUANTIDADE DE PQS FALTANTE, FAZER NOVO LAYOUT DO CABO SENSOR COM FIXAÇÕES ADEQUADAS</t>
        </is>
      </c>
      <c r="AL156" s="58">
        <f>IFERROR(CALCULOS!H151,"NECESSÁRIO REVISAR DATASHEET")</f>
        <v/>
      </c>
      <c r="AM15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6" s="64">
        <f>SUM(Tabela2[[#This Row],[Nota de Prioridade Quantitativa(NOTAS: 1 PIOR NOTA; 5 MELHOR NOTA)]],Tabela2[[#This Row],[Nota de Prioridade Qualitativa(NOTAS: 1 PIOR NOTA;  5 MELHOR NOTA)]])</f>
        <v/>
      </c>
      <c r="AO156" s="7" t="n">
        <v>150581</v>
      </c>
      <c r="AP156" s="64">
        <f>SUM(Tabela2[[#This Row],[Nota de Prioridade Quantitativa(NOTAS: 1 PIOR NOTA; 5 MELHOR NOTA)]],Tabela2[[#This Row],[Nota de Prioridade Qualitativa(NOTAS: 1 PIOR NOTA;  5 MELHOR NOTA)]])</f>
        <v/>
      </c>
      <c r="AQ156" s="7" t="n"/>
      <c r="AR156" s="64">
        <f>SUM(Tabela2[[#This Row],[Nota de Prioridade Quantitativa(NOTAS: 1 PIOR NOTA; 5 MELHOR NOTA)]],Tabela2[[#This Row],[Nota de Prioridade Qualitativa(NOTAS: 1 PIOR NOTA;  5 MELHOR NOTA)]])</f>
        <v/>
      </c>
      <c r="AS156" s="7" t="n"/>
      <c r="AZ156" s="20">
        <f t="array" ref="AZ156">StatusCarga(G156,H156,J156,K156)</f>
        <v/>
      </c>
      <c r="BA156" s="20">
        <f>IF(AZ156="CONFORME","CONFORME ✓","NÃO CONFORME ✗")</f>
        <v/>
      </c>
      <c r="BB156" t="n">
        <v>0</v>
      </c>
      <c r="BC156" t="n">
        <v>25</v>
      </c>
      <c r="BD156" t="n">
        <v>0</v>
      </c>
      <c r="BE156" t="n">
        <v>0</v>
      </c>
      <c r="BF156" t="inlineStr">
        <is>
          <t>CONFORME</t>
        </is>
      </c>
    </row>
    <row r="157" hidden="1" ht="21.75" customHeight="1" thickBot="1">
      <c r="A157" s="77" t="inlineStr">
        <is>
          <t>Mariana</t>
        </is>
      </c>
      <c r="B157" s="77" t="inlineStr">
        <is>
          <t>Fabrica Nova</t>
        </is>
      </c>
      <c r="C157" s="80" t="inlineStr">
        <is>
          <t>CA66555</t>
        </is>
      </c>
      <c r="D157" s="80" t="inlineStr">
        <is>
          <t>AFEX</t>
        </is>
      </c>
      <c r="E157" s="78" t="inlineStr">
        <is>
          <t>CATERPILLAR</t>
        </is>
      </c>
      <c r="F157" s="80" t="inlineStr">
        <is>
          <t>CAT 789D</t>
        </is>
      </c>
      <c r="G157" s="81">
        <f>IFERROR(IF(F157=$AB$2,"",VLOOKUP(F157,'DATASHEET EQUIPAMENTOS'!D:N,2,FALSE)),"")</f>
        <v/>
      </c>
      <c r="H157" s="82" t="inlineStr">
        <is>
          <t>2x60lbs</t>
        </is>
      </c>
      <c r="I157" s="57">
        <f>_xlfn.XLOOKUP(Tabela2[[#This Row],[Modelo]],'DATASHEET EQUIPAMENTOS'!D:D,'DATASHEET EQUIPAMENTOS'!P:P,"",0,1)</f>
        <v/>
      </c>
      <c r="J157" s="81">
        <f>IF(F157=$Z$2,"",VLOOKUP(F157,'DATASHEET EQUIPAMENTOS'!D:N,3,FALSE))</f>
        <v/>
      </c>
      <c r="K157" s="85" t="inlineStr">
        <is>
          <t>2x5gal</t>
        </is>
      </c>
      <c r="L157" s="95">
        <f>IF(AZ157="CONFORME","CONFORME ✓","NÃO CONFORME ✗")</f>
        <v/>
      </c>
      <c r="M157" s="102">
        <f>IF(F157=$Z$2,"",VLOOKUP(F157,'DATASHEET EQUIPAMENTOS'!D:N,4,FALSE))</f>
        <v/>
      </c>
      <c r="N157" s="108" t="n">
        <v>2</v>
      </c>
      <c r="O157" s="102">
        <f>IF(F157=$Z$2,"",VLOOKUP(F157,'DATASHEET EQUIPAMENTOS'!D:N,5,FALSE))</f>
        <v/>
      </c>
      <c r="P157" s="103" t="n">
        <v>3</v>
      </c>
      <c r="Q157" s="102">
        <f>IF(F157=$Z$2,"",VLOOKUP(F157,'DATASHEET EQUIPAMENTOS'!D:N,6,FALSE))</f>
        <v/>
      </c>
      <c r="R157" s="104" t="n">
        <v>3</v>
      </c>
      <c r="S157" s="95">
        <f>IF(Tabela2[[#This Row],[Instalado Sensor Motor]]="Linear","CONFORME ✓",IF(SUM(M157,O157,Q157)&lt;SUM(N157,P157,R157),"CONFORME ✓",IF(SUM(M157,O157,Q157)=SUM(N157,P157,R157),"CONFORME ✓","NÃO CONFORME ✗")))</f>
        <v/>
      </c>
      <c r="T157" s="91">
        <f>IF(F157=$Z$2,"",VLOOKUP(F157,'DATASHEET EQUIPAMENTOS'!D:N,7,FALSE))</f>
        <v/>
      </c>
      <c r="U157" s="57" t="n">
        <v>7</v>
      </c>
      <c r="V157" s="56">
        <f>IF(F157=$Z$2,"",VLOOKUP(F157,'DATASHEET EQUIPAMENTOS'!D:N,8,FALSE))</f>
        <v/>
      </c>
      <c r="W157" s="57" t="n">
        <v>2</v>
      </c>
      <c r="X157" s="56">
        <f>IF(F157=$Z$2,"",VLOOKUP(F157,'DATASHEET EQUIPAMENTOS'!D:N,9,FALSE))</f>
        <v/>
      </c>
      <c r="Y157" s="57" t="n">
        <v>2</v>
      </c>
      <c r="Z157" s="57">
        <f>IF(SUM(T157,V157,X157)&lt;=SUM(U157,W157,Y157),"CONFORME ✓",IF(SUM(T157,V157,X157)&gt;SUM(U157,W157,Y157),"NÃO CONFORME ✗"))</f>
        <v/>
      </c>
      <c r="AA157" s="56">
        <f>IF(F157=$Z$2,"",VLOOKUP(F157,'DATASHEET EQUIPAMENTOS'!D:N,10,FALSE))</f>
        <v/>
      </c>
      <c r="AB157" s="57" t="n">
        <v>8</v>
      </c>
      <c r="AC157" s="56">
        <f>IF(F157=$Z$2,"",VLOOKUP(F157,'DATASHEET EQUIPAMENTOS'!D:N,11,FALSE))</f>
        <v/>
      </c>
      <c r="AD157" s="57" t="n">
        <v>2</v>
      </c>
      <c r="AE157" s="56">
        <f>IF(F157=$Z$2,"",VLOOKUP(F157,'DATASHEET EQUIPAMENTOS'!D:O,12,FALSE))</f>
        <v/>
      </c>
      <c r="AF157" s="57" t="n">
        <v>2</v>
      </c>
      <c r="AG157" s="57">
        <f>IF(SUM(AA157,AC157,AE157)&lt;=SUM(AB157,AD157,AF157),"CONFORME ✓",IF(SUM(AA157,AC157,AE157)&gt;SUM(AB157,AD157,AF157),"NÃO CONFORME ✗"))</f>
        <v/>
      </c>
      <c r="AH157" s="72" t="n"/>
      <c r="AI157" s="72" t="n"/>
      <c r="AJ157" s="72" t="n"/>
      <c r="AK157" s="7" t="inlineStr">
        <is>
          <t>TAG - CA66555</t>
        </is>
      </c>
      <c r="AL157" s="58">
        <f>IFERROR(CALCULOS!H152,"NECESSÁRIO REVISAR DATASHEET")</f>
        <v/>
      </c>
      <c r="AM15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7" s="64">
        <f>SUM(Tabela2[[#This Row],[Nota de Prioridade Quantitativa(NOTAS: 1 PIOR NOTA; 5 MELHOR NOTA)]],Tabela2[[#This Row],[Nota de Prioridade Qualitativa(NOTAS: 1 PIOR NOTA;  5 MELHOR NOTA)]])</f>
        <v/>
      </c>
      <c r="AO157" s="7" t="n">
        <v>150130</v>
      </c>
      <c r="AP157" s="64">
        <f>SUM(Tabela2[[#This Row],[Nota de Prioridade Quantitativa(NOTAS: 1 PIOR NOTA; 5 MELHOR NOTA)]],Tabela2[[#This Row],[Nota de Prioridade Qualitativa(NOTAS: 1 PIOR NOTA;  5 MELHOR NOTA)]])</f>
        <v/>
      </c>
      <c r="AQ157" s="7" t="inlineStr">
        <is>
          <t>RETORNAR NO EQUIPAMENTO</t>
        </is>
      </c>
      <c r="AR157" s="64">
        <f>SUM(Tabela2[[#This Row],[Nota de Prioridade Quantitativa(NOTAS: 1 PIOR NOTA; 5 MELHOR NOTA)]],Tabela2[[#This Row],[Nota de Prioridade Qualitativa(NOTAS: 1 PIOR NOTA;  5 MELHOR NOTA)]])</f>
        <v/>
      </c>
      <c r="AS157" s="7" t="n"/>
      <c r="AZ157" s="20">
        <f t="array" ref="AZ157">StatusCarga(G157,H157,J157,K157)</f>
        <v/>
      </c>
      <c r="BA157" s="20">
        <f>IF(AZ157="CONFORME","CONFORME ✓","NÃO CONFORME ✗")</f>
        <v/>
      </c>
      <c r="BB157" t="n">
        <v>0</v>
      </c>
      <c r="BC157" t="n">
        <v>120</v>
      </c>
      <c r="BD157" t="n">
        <v>0</v>
      </c>
      <c r="BE157" t="n">
        <v>10</v>
      </c>
      <c r="BF157" t="inlineStr">
        <is>
          <t>CONFORME</t>
        </is>
      </c>
    </row>
    <row r="158" hidden="1" ht="21.75" customHeight="1" thickBot="1">
      <c r="A158" s="77" t="inlineStr">
        <is>
          <t>Mariana</t>
        </is>
      </c>
      <c r="B158" s="77" t="inlineStr">
        <is>
          <t>Fazendão</t>
        </is>
      </c>
      <c r="C158" s="80" t="inlineStr">
        <is>
          <t>TE4418</t>
        </is>
      </c>
      <c r="D158" s="80" t="inlineStr">
        <is>
          <t>AFEX</t>
        </is>
      </c>
      <c r="E158" s="78" t="inlineStr">
        <is>
          <t>KOMATSU</t>
        </is>
      </c>
      <c r="F158" s="80" t="inlineStr">
        <is>
          <t>KOMATSU D375A-6R</t>
        </is>
      </c>
      <c r="G158" s="81">
        <f>IFERROR(IF(F158=$AB$2,"",VLOOKUP(F158,'DATASHEET EQUIPAMENTOS'!D:N,2,FALSE)),"")</f>
        <v/>
      </c>
      <c r="H158" s="82" t="inlineStr">
        <is>
          <t>2x30lbs</t>
        </is>
      </c>
      <c r="I158" s="57">
        <f>_xlfn.XLOOKUP(Tabela2[[#This Row],[Modelo]],'DATASHEET EQUIPAMENTOS'!D:D,'DATASHEET EQUIPAMENTOS'!P:P,"",0,1)</f>
        <v/>
      </c>
      <c r="J158" s="81">
        <f>IF(F158=$Z$2,"",VLOOKUP(F158,'DATASHEET EQUIPAMENTOS'!D:N,3,FALSE))</f>
        <v/>
      </c>
      <c r="K158" s="85" t="n">
        <v>0</v>
      </c>
      <c r="L158" s="95">
        <f>IF(AZ158="CONFORME","CONFORME ✓","NÃO CONFORME ✗")</f>
        <v/>
      </c>
      <c r="M158" s="102">
        <f>IF(F158=$Z$2,"",VLOOKUP(F158,'DATASHEET EQUIPAMENTOS'!D:N,4,FALSE))</f>
        <v/>
      </c>
      <c r="N158" s="108" t="n">
        <v>4</v>
      </c>
      <c r="O158" s="102">
        <f>IF(F158=$Z$2,"",VLOOKUP(F158,'DATASHEET EQUIPAMENTOS'!D:N,5,FALSE))</f>
        <v/>
      </c>
      <c r="P158" s="103" t="n">
        <v>1</v>
      </c>
      <c r="Q158" s="102">
        <f>IF(F158=$Z$2,"",VLOOKUP(F158,'DATASHEET EQUIPAMENTOS'!D:N,6,FALSE))</f>
        <v/>
      </c>
      <c r="R158" s="104" t="n">
        <v>1</v>
      </c>
      <c r="S158" s="95">
        <f>IF(Tabela2[[#This Row],[Instalado Sensor Motor]]="Linear","CONFORME ✓",IF(SUM(M158,O158,Q158)&lt;SUM(N158,P158,R158),"CONFORME ✓",IF(SUM(M158,O158,Q158)=SUM(N158,P158,R158),"CONFORME ✓","NÃO CONFORME ✗")))</f>
        <v/>
      </c>
      <c r="T158" s="91">
        <f>IF(F158=$Z$2,"",VLOOKUP(F158,'DATASHEET EQUIPAMENTOS'!D:N,7,FALSE))</f>
        <v/>
      </c>
      <c r="U158" s="57" t="n">
        <v>6</v>
      </c>
      <c r="V158" s="56">
        <f>IF(F158=$Z$2,"",VLOOKUP(F158,'DATASHEET EQUIPAMENTOS'!D:N,8,FALSE))</f>
        <v/>
      </c>
      <c r="W158" s="57" t="n">
        <v>3</v>
      </c>
      <c r="X158" s="56">
        <f>IF(F158=$Z$2,"",VLOOKUP(F158,'DATASHEET EQUIPAMENTOS'!D:N,9,FALSE))</f>
        <v/>
      </c>
      <c r="Y158" s="57" t="n">
        <v>3</v>
      </c>
      <c r="Z158" s="57">
        <f>IF(SUM(T158,V158,X158)&lt;=SUM(U158,W158,Y158),"CONFORME ✓",IF(SUM(T158,V158,X158)&gt;SUM(U158,W158,Y158),"NÃO CONFORME ✗"))</f>
        <v/>
      </c>
      <c r="AA158" s="56">
        <f>IF(F158=$Z$2,"",VLOOKUP(F158,'DATASHEET EQUIPAMENTOS'!D:N,10,FALSE))</f>
        <v/>
      </c>
      <c r="AB158" s="57" t="n"/>
      <c r="AC158" s="56">
        <f>IF(F158=$Z$2,"",VLOOKUP(F158,'DATASHEET EQUIPAMENTOS'!D:N,11,FALSE))</f>
        <v/>
      </c>
      <c r="AD158" s="57" t="n"/>
      <c r="AE158" s="56">
        <f>IF(F158=$Z$2,"",VLOOKUP(F158,'DATASHEET EQUIPAMENTOS'!D:O,12,FALSE))</f>
        <v/>
      </c>
      <c r="AF158" s="57" t="n"/>
      <c r="AG158" s="57">
        <f>IF(SUM(AA158,AC158,AE158)&lt;=SUM(AB158,AD158,AF158),"CONFORME ✓",IF(SUM(AA158,AC158,AE158)&gt;SUM(AB158,AD158,AF158),"NÃO CONFORME ✗"))</f>
        <v/>
      </c>
      <c r="AH158" s="72" t="n"/>
      <c r="AI158" s="72" t="n"/>
      <c r="AJ158" s="72" t="n"/>
      <c r="AK158" s="7" t="inlineStr">
        <is>
          <t>EQUIPAMENTO NÃO POSSUI AGENTE LÍQUIDO E CABO NECESSÁRIO REAVALIAR ROTAS DAS MANGUEIRAS E DOS CABOS DE LIGAÇÃO DOS SENSORES PONTUAIS</t>
        </is>
      </c>
      <c r="AL158" s="58">
        <f>IFERROR(CALCULOS!H153,"NECESSÁRIO REVISAR DATASHEET")</f>
        <v/>
      </c>
      <c r="AM15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8" s="64">
        <f>SUM(Tabela2[[#This Row],[Nota de Prioridade Quantitativa(NOTAS: 1 PIOR NOTA; 5 MELHOR NOTA)]],Tabela2[[#This Row],[Nota de Prioridade Qualitativa(NOTAS: 1 PIOR NOTA;  5 MELHOR NOTA)]])</f>
        <v/>
      </c>
      <c r="AO158" s="7" t="n">
        <v>150116</v>
      </c>
      <c r="AP158" s="64">
        <f>SUM(Tabela2[[#This Row],[Nota de Prioridade Quantitativa(NOTAS: 1 PIOR NOTA; 5 MELHOR NOTA)]],Tabela2[[#This Row],[Nota de Prioridade Qualitativa(NOTAS: 1 PIOR NOTA;  5 MELHOR NOTA)]])</f>
        <v/>
      </c>
      <c r="AQ158" s="7" t="n"/>
      <c r="AR158" s="64">
        <f>SUM(Tabela2[[#This Row],[Nota de Prioridade Quantitativa(NOTAS: 1 PIOR NOTA; 5 MELHOR NOTA)]],Tabela2[[#This Row],[Nota de Prioridade Qualitativa(NOTAS: 1 PIOR NOTA;  5 MELHOR NOTA)]])</f>
        <v/>
      </c>
      <c r="AS158" s="7" t="n"/>
      <c r="AZ158" s="20">
        <f t="array" ref="AZ158">StatusCarga(G158,H158,J158,K158)</f>
        <v/>
      </c>
      <c r="BA158" s="20">
        <f>IF(AZ158="CONFORME","CONFORME ✓","NÃO CONFORME ✗")</f>
        <v/>
      </c>
      <c r="BB158" t="n">
        <v>0</v>
      </c>
      <c r="BC158" t="n">
        <v>60</v>
      </c>
      <c r="BD158" t="n">
        <v>0</v>
      </c>
      <c r="BE158" t="n">
        <v>0</v>
      </c>
      <c r="BF158" t="inlineStr">
        <is>
          <t>CONFORME</t>
        </is>
      </c>
    </row>
    <row r="159" hidden="1" ht="21.75" customHeight="1" thickBot="1">
      <c r="A159" s="77" t="inlineStr">
        <is>
          <t>Mariana</t>
        </is>
      </c>
      <c r="B159" s="77" t="inlineStr">
        <is>
          <t>Fazendão</t>
        </is>
      </c>
      <c r="C159" s="80" t="inlineStr">
        <is>
          <t>TE2205</t>
        </is>
      </c>
      <c r="D159" s="80" t="inlineStr">
        <is>
          <t>AFEX</t>
        </is>
      </c>
      <c r="E159" s="78" t="inlineStr">
        <is>
          <t>KOMATSU</t>
        </is>
      </c>
      <c r="F159" s="80" t="inlineStr">
        <is>
          <t>D61EX</t>
        </is>
      </c>
      <c r="G159" s="81">
        <f>IFERROR(IF(F159=$AB$2,"",VLOOKUP(F159,'DATASHEET EQUIPAMENTOS'!D:N,2,FALSE)),"")</f>
        <v/>
      </c>
      <c r="H159" s="82" t="inlineStr">
        <is>
          <t>1x30lbs</t>
        </is>
      </c>
      <c r="I159" s="57">
        <f>_xlfn.XLOOKUP(Tabela2[[#This Row],[Modelo]],'DATASHEET EQUIPAMENTOS'!D:D,'DATASHEET EQUIPAMENTOS'!P:P,"",0,1)</f>
        <v/>
      </c>
      <c r="J159" s="81">
        <f>IF(F159=$Z$2,"",VLOOKUP(F159,'DATASHEET EQUIPAMENTOS'!D:N,3,FALSE))</f>
        <v/>
      </c>
      <c r="K159" s="85" t="n">
        <v>0</v>
      </c>
      <c r="L159" s="95">
        <f>IF(AZ159="CONFORME","CONFORME ✓","NÃO CONFORME ✗")</f>
        <v/>
      </c>
      <c r="M159" s="102">
        <f>IF(F159=$Z$2,"",VLOOKUP(F159,'DATASHEET EQUIPAMENTOS'!D:N,4,FALSE))</f>
        <v/>
      </c>
      <c r="N159" s="108" t="n">
        <v>3</v>
      </c>
      <c r="O159" s="102">
        <f>IF(F159=$Z$2,"",VLOOKUP(F159,'DATASHEET EQUIPAMENTOS'!D:N,5,FALSE))</f>
        <v/>
      </c>
      <c r="P159" s="103" t="n"/>
      <c r="Q159" s="102">
        <f>IF(F159=$Z$2,"",VLOOKUP(F159,'DATASHEET EQUIPAMENTOS'!D:N,6,FALSE))</f>
        <v/>
      </c>
      <c r="R159" s="104" t="n"/>
      <c r="S159" s="95">
        <f>IF(Tabela2[[#This Row],[Instalado Sensor Motor]]="Linear","CONFORME ✓",IF(SUM(M159,O159,Q159)&lt;SUM(N159,P159,R159),"CONFORME ✓",IF(SUM(M159,O159,Q159)=SUM(N159,P159,R159),"CONFORME ✓","NÃO CONFORME ✗")))</f>
        <v/>
      </c>
      <c r="T159" s="91">
        <f>IF(F159=$Z$2,"",VLOOKUP(F159,'DATASHEET EQUIPAMENTOS'!D:N,7,FALSE))</f>
        <v/>
      </c>
      <c r="U159" s="57" t="n">
        <v>6</v>
      </c>
      <c r="V159" s="56">
        <f>IF(F159=$Z$2,"",VLOOKUP(F159,'DATASHEET EQUIPAMENTOS'!D:N,8,FALSE))</f>
        <v/>
      </c>
      <c r="W159" s="57" t="n"/>
      <c r="X159" s="56">
        <f>IF(F159=$Z$2,"",VLOOKUP(F159,'DATASHEET EQUIPAMENTOS'!D:N,9,FALSE))</f>
        <v/>
      </c>
      <c r="Y159" s="57" t="n"/>
      <c r="Z159" s="57">
        <f>IF(SUM(T159,V159,X159)&lt;=SUM(U159,W159,Y159),"CONFORME ✓",IF(SUM(T159,V159,X159)&gt;SUM(U159,W159,Y159),"NÃO CONFORME ✗"))</f>
        <v/>
      </c>
      <c r="AA159" s="56">
        <f>IF(F159=$Z$2,"",VLOOKUP(F159,'DATASHEET EQUIPAMENTOS'!D:N,10,FALSE))</f>
        <v/>
      </c>
      <c r="AB159" s="57" t="n"/>
      <c r="AC159" s="56">
        <f>IF(F159=$Z$2,"",VLOOKUP(F159,'DATASHEET EQUIPAMENTOS'!D:N,11,FALSE))</f>
        <v/>
      </c>
      <c r="AD159" s="57" t="n"/>
      <c r="AE159" s="56">
        <f>IF(F159=$Z$2,"",VLOOKUP(F159,'DATASHEET EQUIPAMENTOS'!D:O,12,FALSE))</f>
        <v/>
      </c>
      <c r="AF159" s="57" t="n"/>
      <c r="AG159" s="57">
        <f>IF(SUM(AA159,AC159,AE159)&lt;=SUM(AB159,AD159,AF159),"CONFORME ✓",IF(SUM(AA159,AC159,AE159)&gt;SUM(AB159,AD159,AF159),"NÃO CONFORME ✗"))</f>
        <v/>
      </c>
      <c r="AH159" s="72" t="n"/>
      <c r="AI159" s="72" t="n"/>
      <c r="AJ159" s="72" t="n"/>
      <c r="AK159" s="7" t="inlineStr">
        <is>
          <t>O SISTEMA INSTALADO NO EQTO NÃO POSSUI AGENTE LIQUIDO</t>
        </is>
      </c>
      <c r="AL159" s="58">
        <f>IFERROR(CALCULOS!H154,"NECESSÁRIO REVISAR DATASHEET")</f>
        <v/>
      </c>
      <c r="AM15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59" s="64">
        <f>SUM(Tabela2[[#This Row],[Nota de Prioridade Quantitativa(NOTAS: 1 PIOR NOTA; 5 MELHOR NOTA)]],Tabela2[[#This Row],[Nota de Prioridade Qualitativa(NOTAS: 1 PIOR NOTA;  5 MELHOR NOTA)]])</f>
        <v/>
      </c>
      <c r="AO159" s="7" t="n">
        <v>150080</v>
      </c>
      <c r="AP159" s="64">
        <f>SUM(Tabela2[[#This Row],[Nota de Prioridade Quantitativa(NOTAS: 1 PIOR NOTA; 5 MELHOR NOTA)]],Tabela2[[#This Row],[Nota de Prioridade Qualitativa(NOTAS: 1 PIOR NOTA;  5 MELHOR NOTA)]])</f>
        <v/>
      </c>
      <c r="AQ159" s="7" t="n"/>
      <c r="AR159" s="64">
        <f>SUM(Tabela2[[#This Row],[Nota de Prioridade Quantitativa(NOTAS: 1 PIOR NOTA; 5 MELHOR NOTA)]],Tabela2[[#This Row],[Nota de Prioridade Qualitativa(NOTAS: 1 PIOR NOTA;  5 MELHOR NOTA)]])</f>
        <v/>
      </c>
      <c r="AS159" s="7" t="n"/>
      <c r="AZ159" s="20">
        <f t="array" ref="AZ159">StatusCarga(G159,H159,J159,K159)</f>
        <v/>
      </c>
      <c r="BA159" s="20">
        <f>IF(AZ159="CONFORME","CONFORME ✓","NÃO CONFORME ✗")</f>
        <v/>
      </c>
      <c r="BB159" t="n">
        <v>0</v>
      </c>
      <c r="BC159" t="n">
        <v>30</v>
      </c>
      <c r="BD159" t="n">
        <v>0</v>
      </c>
      <c r="BE159" t="n">
        <v>0</v>
      </c>
      <c r="BF159" t="inlineStr">
        <is>
          <t>CONFORME</t>
        </is>
      </c>
    </row>
    <row r="160" hidden="1" ht="21.75" customHeight="1" thickBot="1">
      <c r="A160" s="77" t="inlineStr">
        <is>
          <t>Mariana</t>
        </is>
      </c>
      <c r="B160" s="77" t="inlineStr">
        <is>
          <t>Fabrica Nova</t>
        </is>
      </c>
      <c r="C160" s="80" t="inlineStr">
        <is>
          <t>CA66558</t>
        </is>
      </c>
      <c r="D160" s="80" t="inlineStr">
        <is>
          <t>AFEX</t>
        </is>
      </c>
      <c r="E160" s="78" t="inlineStr">
        <is>
          <t>CATERPILLAR</t>
        </is>
      </c>
      <c r="F160" s="80" t="inlineStr">
        <is>
          <t>cat 789D</t>
        </is>
      </c>
      <c r="G160" s="81">
        <f>IFERROR(IF(F160=$AB$2,"",VLOOKUP(F160,'DATASHEET EQUIPAMENTOS'!D:N,2,FALSE)),"")</f>
        <v/>
      </c>
      <c r="H160" s="82" t="inlineStr">
        <is>
          <t>2x60lbs</t>
        </is>
      </c>
      <c r="I160" s="57">
        <f>_xlfn.XLOOKUP(Tabela2[[#This Row],[Modelo]],'DATASHEET EQUIPAMENTOS'!D:D,'DATASHEET EQUIPAMENTOS'!P:P,"",0,1)</f>
        <v/>
      </c>
      <c r="J160" s="81">
        <f>IF(F160=$Z$2,"",VLOOKUP(F160,'DATASHEET EQUIPAMENTOS'!D:N,3,FALSE))</f>
        <v/>
      </c>
      <c r="K160" s="85" t="inlineStr">
        <is>
          <t>2x5gal</t>
        </is>
      </c>
      <c r="L160" s="95">
        <f>IF(AZ160="CONFORME","CONFORME ✓","NÃO CONFORME ✗")</f>
        <v/>
      </c>
      <c r="M160" s="102">
        <f>IF(F160=$Z$2,"",VLOOKUP(F160,'DATASHEET EQUIPAMENTOS'!D:N,4,FALSE))</f>
        <v/>
      </c>
      <c r="N160" s="108" t="n"/>
      <c r="O160" s="102">
        <f>IF(F160=$Z$2,"",VLOOKUP(F160,'DATASHEET EQUIPAMENTOS'!D:N,5,FALSE))</f>
        <v/>
      </c>
      <c r="P160" s="103" t="n"/>
      <c r="Q160" s="102">
        <f>IF(F160=$Z$2,"",VLOOKUP(F160,'DATASHEET EQUIPAMENTOS'!D:N,6,FALSE))</f>
        <v/>
      </c>
      <c r="R160" s="104" t="n">
        <v>2</v>
      </c>
      <c r="S160" s="95">
        <f>IF(Tabela2[[#This Row],[Instalado Sensor Motor]]="Linear","CONFORME ✓",IF(SUM(M160,O160,Q160)&lt;SUM(N160,P160,R160),"CONFORME ✓",IF(SUM(M160,O160,Q160)=SUM(N160,P160,R160),"CONFORME ✓","NÃO CONFORME ✗")))</f>
        <v/>
      </c>
      <c r="T160" s="91">
        <f>IF(F160=$Z$2,"",VLOOKUP(F160,'DATASHEET EQUIPAMENTOS'!D:N,7,FALSE))</f>
        <v/>
      </c>
      <c r="U160" s="57" t="n">
        <v>6</v>
      </c>
      <c r="V160" s="56">
        <f>IF(F160=$Z$2,"",VLOOKUP(F160,'DATASHEET EQUIPAMENTOS'!D:N,8,FALSE))</f>
        <v/>
      </c>
      <c r="W160" s="57" t="n">
        <v>1</v>
      </c>
      <c r="X160" s="56">
        <f>IF(F160=$Z$2,"",VLOOKUP(F160,'DATASHEET EQUIPAMENTOS'!D:N,9,FALSE))</f>
        <v/>
      </c>
      <c r="Y160" s="57" t="n">
        <v>1</v>
      </c>
      <c r="Z160" s="57">
        <f>IF(SUM(T160,V160,X160)&lt;=SUM(U160,W160,Y160),"CONFORME ✓",IF(SUM(T160,V160,X160)&gt;SUM(U160,W160,Y160),"NÃO CONFORME ✗"))</f>
        <v/>
      </c>
      <c r="AA160" s="56">
        <f>IF(F160=$Z$2,"",VLOOKUP(F160,'DATASHEET EQUIPAMENTOS'!D:N,10,FALSE))</f>
        <v/>
      </c>
      <c r="AB160" s="57" t="n">
        <v>4</v>
      </c>
      <c r="AC160" s="56">
        <f>IF(F160=$Z$2,"",VLOOKUP(F160,'DATASHEET EQUIPAMENTOS'!D:N,11,FALSE))</f>
        <v/>
      </c>
      <c r="AD160" s="57" t="n"/>
      <c r="AE160" s="56">
        <f>IF(F160=$Z$2,"",VLOOKUP(F160,'DATASHEET EQUIPAMENTOS'!D:O,12,FALSE))</f>
        <v/>
      </c>
      <c r="AF160" s="57" t="n"/>
      <c r="AG160" s="57">
        <f>IF(SUM(AA160,AC160,AE160)&lt;=SUM(AB160,AD160,AF160),"CONFORME ✓",IF(SUM(AA160,AC160,AE160)&gt;SUM(AB160,AD160,AF160),"NÃO CONFORME ✗"))</f>
        <v/>
      </c>
      <c r="AH160" s="72" t="n"/>
      <c r="AI160" s="72" t="n"/>
      <c r="AJ160" s="72" t="n">
        <v>1</v>
      </c>
      <c r="AK160" s="7" t="inlineStr">
        <is>
          <t>ANÁLISE COMPLETA</t>
        </is>
      </c>
      <c r="AL160" s="58">
        <f>IFERROR(CALCULOS!H155,"NECESSÁRIO REVISAR DATASHEET")</f>
        <v/>
      </c>
      <c r="AM16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0" s="64">
        <f>SUM(Tabela2[[#This Row],[Nota de Prioridade Quantitativa(NOTAS: 1 PIOR NOTA; 5 MELHOR NOTA)]],Tabela2[[#This Row],[Nota de Prioridade Qualitativa(NOTAS: 1 PIOR NOTA;  5 MELHOR NOTA)]])</f>
        <v/>
      </c>
      <c r="AO160" s="7" t="n">
        <v>150076</v>
      </c>
      <c r="AP160" s="64">
        <f>SUM(Tabela2[[#This Row],[Nota de Prioridade Quantitativa(NOTAS: 1 PIOR NOTA; 5 MELHOR NOTA)]],Tabela2[[#This Row],[Nota de Prioridade Qualitativa(NOTAS: 1 PIOR NOTA;  5 MELHOR NOTA)]])</f>
        <v/>
      </c>
      <c r="AQ160" s="7" t="inlineStr">
        <is>
          <t>RETORNAR NO EQUIPAMENTO</t>
        </is>
      </c>
      <c r="AR160" s="64">
        <f>SUM(Tabela2[[#This Row],[Nota de Prioridade Quantitativa(NOTAS: 1 PIOR NOTA; 5 MELHOR NOTA)]],Tabela2[[#This Row],[Nota de Prioridade Qualitativa(NOTAS: 1 PIOR NOTA;  5 MELHOR NOTA)]])</f>
        <v/>
      </c>
      <c r="AS160" s="7" t="n"/>
      <c r="AZ160" s="20">
        <f t="array" ref="AZ160">StatusCarga(G160,H160,J160,K160)</f>
        <v/>
      </c>
      <c r="BA160" s="20">
        <f>IF(AZ160="CONFORME","CONFORME ✓","NÃO CONFORME ✗")</f>
        <v/>
      </c>
      <c r="BB160" t="n">
        <v>0</v>
      </c>
      <c r="BC160" t="n">
        <v>120</v>
      </c>
      <c r="BD160" t="n">
        <v>0</v>
      </c>
      <c r="BE160" t="n">
        <v>10</v>
      </c>
      <c r="BF160" t="inlineStr">
        <is>
          <t>CONFORME</t>
        </is>
      </c>
    </row>
    <row r="161" hidden="1" ht="21.75" customHeight="1" thickBot="1">
      <c r="A161" s="77" t="inlineStr">
        <is>
          <t>Mariana</t>
        </is>
      </c>
      <c r="B161" s="77" t="inlineStr">
        <is>
          <t>Fazendão</t>
        </is>
      </c>
      <c r="C161" s="80" t="inlineStr">
        <is>
          <t>PF0110</t>
        </is>
      </c>
      <c r="D161" s="80" t="inlineStr">
        <is>
          <t>AFEX</t>
        </is>
      </c>
      <c r="E161" s="80" t="inlineStr">
        <is>
          <t>EPIROC</t>
        </is>
      </c>
      <c r="F161" s="80" t="inlineStr">
        <is>
          <t>T45</t>
        </is>
      </c>
      <c r="G161" s="81">
        <f>IFERROR(IF(F161=$AB$2,"",VLOOKUP(F161,'DATASHEET EQUIPAMENTOS'!D:N,2,FALSE)),"")</f>
        <v/>
      </c>
      <c r="H161" s="82" t="inlineStr">
        <is>
          <t>1xDSC - 50T</t>
        </is>
      </c>
      <c r="I161" s="57">
        <f>_xlfn.XLOOKUP(Tabela2[[#This Row],[Modelo]],'DATASHEET EQUIPAMENTOS'!D:D,'DATASHEET EQUIPAMENTOS'!P:P,"",0,1)</f>
        <v/>
      </c>
      <c r="J161" s="81">
        <f>IF(F161=$Z$2,"",VLOOKUP(F161,'DATASHEET EQUIPAMENTOS'!D:N,3,FALSE))</f>
        <v/>
      </c>
      <c r="K161" s="85" t="inlineStr">
        <is>
          <t>1x5gal</t>
        </is>
      </c>
      <c r="L161" s="95">
        <f>IF(AZ161="CONFORME","CONFORME ✓","NÃO CONFORME ✗")</f>
        <v/>
      </c>
      <c r="M161" s="102">
        <f>IF(F161=$Z$2,"",VLOOKUP(F161,'DATASHEET EQUIPAMENTOS'!D:N,4,FALSE))</f>
        <v/>
      </c>
      <c r="N161" s="108" t="inlineStr">
        <is>
          <t>Linear</t>
        </is>
      </c>
      <c r="O161" s="102">
        <f>IF(F161=$Z$2,"",VLOOKUP(F161,'DATASHEET EQUIPAMENTOS'!D:N,5,FALSE))</f>
        <v/>
      </c>
      <c r="P161" s="103" t="n"/>
      <c r="Q161" s="102">
        <f>IF(F161=$Z$2,"",VLOOKUP(F161,'DATASHEET EQUIPAMENTOS'!D:N,6,FALSE))</f>
        <v/>
      </c>
      <c r="R161" s="104" t="n"/>
      <c r="S161" s="95">
        <f>IF(Tabela2[[#This Row],[Instalado Sensor Motor]]="Linear","CONFORME ✓",IF(SUM(M161,O161,Q161)&lt;SUM(N161,P161,R161),"CONFORME ✓",IF(SUM(M161,O161,Q161)=SUM(N161,P161,R161),"CONFORME ✓","NÃO CONFORME ✗")))</f>
        <v/>
      </c>
      <c r="T161" s="91">
        <f>IF(F161=$Z$2,"",VLOOKUP(F161,'DATASHEET EQUIPAMENTOS'!D:N,7,FALSE))</f>
        <v/>
      </c>
      <c r="U161" s="57" t="n">
        <v>16</v>
      </c>
      <c r="V161" s="56">
        <f>IF(F161=$Z$2,"",VLOOKUP(F161,'DATASHEET EQUIPAMENTOS'!D:N,8,FALSE))</f>
        <v/>
      </c>
      <c r="W161" s="57" t="n"/>
      <c r="X161" s="56">
        <f>IF(F161=$Z$2,"",VLOOKUP(F161,'DATASHEET EQUIPAMENTOS'!D:N,9,FALSE))</f>
        <v/>
      </c>
      <c r="Y161" s="57" t="n"/>
      <c r="Z161" s="57">
        <f>IF(SUM(T161,V161,X161)&lt;=SUM(U161,W161,Y161),"CONFORME ✓",IF(SUM(T161,V161,X161)&gt;SUM(U161,W161,Y161),"NÃO CONFORME ✗"))</f>
        <v/>
      </c>
      <c r="AA161" s="56">
        <f>IF(F161=$Z$2,"",VLOOKUP(F161,'DATASHEET EQUIPAMENTOS'!D:N,10,FALSE))</f>
        <v/>
      </c>
      <c r="AB161" s="57" t="n">
        <v>4</v>
      </c>
      <c r="AC161" s="56">
        <f>IF(F161=$Z$2,"",VLOOKUP(F161,'DATASHEET EQUIPAMENTOS'!D:N,11,FALSE))</f>
        <v/>
      </c>
      <c r="AD161" s="57" t="n"/>
      <c r="AE161" s="56">
        <f>IF(F161=$Z$2,"",VLOOKUP(F161,'DATASHEET EQUIPAMENTOS'!D:O,12,FALSE))</f>
        <v/>
      </c>
      <c r="AF161" s="57" t="n"/>
      <c r="AG161" s="57">
        <f>IF(SUM(AA161,AC161,AE161)&lt;=SUM(AB161,AD161,AF161),"CONFORME ✓",IF(SUM(AA161,AC161,AE161)&gt;SUM(AB161,AD161,AF161),"NÃO CONFORME ✗"))</f>
        <v/>
      </c>
      <c r="AH161" s="72" t="n"/>
      <c r="AI161" s="72" t="n"/>
      <c r="AJ161" s="72" t="n"/>
      <c r="AK161" s="7" t="inlineStr">
        <is>
          <t>OK</t>
        </is>
      </c>
      <c r="AL161" s="58">
        <f>IFERROR(CALCULOS!H156,"NECESSÁRIO REVISAR DATASHEET")</f>
        <v/>
      </c>
      <c r="AM16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1" s="64">
        <f>SUM(Tabela2[[#This Row],[Nota de Prioridade Quantitativa(NOTAS: 1 PIOR NOTA; 5 MELHOR NOTA)]],Tabela2[[#This Row],[Nota de Prioridade Qualitativa(NOTAS: 1 PIOR NOTA;  5 MELHOR NOTA)]])</f>
        <v/>
      </c>
      <c r="AO161" s="7" t="n">
        <v>150049</v>
      </c>
      <c r="AP161" s="64">
        <f>SUM(Tabela2[[#This Row],[Nota de Prioridade Quantitativa(NOTAS: 1 PIOR NOTA; 5 MELHOR NOTA)]],Tabela2[[#This Row],[Nota de Prioridade Qualitativa(NOTAS: 1 PIOR NOTA;  5 MELHOR NOTA)]])</f>
        <v/>
      </c>
      <c r="AQ161" s="7" t="n"/>
      <c r="AR161" s="64">
        <f>SUM(Tabela2[[#This Row],[Nota de Prioridade Quantitativa(NOTAS: 1 PIOR NOTA; 5 MELHOR NOTA)]],Tabela2[[#This Row],[Nota de Prioridade Qualitativa(NOTAS: 1 PIOR NOTA;  5 MELHOR NOTA)]])</f>
        <v/>
      </c>
      <c r="AS161" s="7" t="n"/>
      <c r="AZ161" s="20">
        <f t="array" ref="AZ161">StatusCarga(G161,H161,J161,K161)</f>
        <v/>
      </c>
      <c r="BA161" s="20">
        <f>IF(AZ161="CONFORME","CONFORME ✓","NÃO CONFORME ✗")</f>
        <v/>
      </c>
      <c r="BB161" t="n">
        <v>0</v>
      </c>
      <c r="BC161" t="n">
        <v>0</v>
      </c>
      <c r="BD161" t="n">
        <v>0</v>
      </c>
      <c r="BE161" t="n">
        <v>5</v>
      </c>
      <c r="BF161" t="inlineStr">
        <is>
          <t>CONFORME</t>
        </is>
      </c>
    </row>
    <row r="162" hidden="1" ht="21.75" customHeight="1" thickBot="1">
      <c r="A162" s="77" t="inlineStr">
        <is>
          <t>Mariana</t>
        </is>
      </c>
      <c r="B162" s="77" t="inlineStr">
        <is>
          <t>Fabrica Nova</t>
        </is>
      </c>
      <c r="C162" s="80" t="inlineStr">
        <is>
          <t>CA66538</t>
        </is>
      </c>
      <c r="D162" s="80" t="inlineStr">
        <is>
          <t>AFEX</t>
        </is>
      </c>
      <c r="E162" s="78" t="inlineStr">
        <is>
          <t>CATERPILLAR</t>
        </is>
      </c>
      <c r="F162" s="80" t="inlineStr">
        <is>
          <t>cat 789</t>
        </is>
      </c>
      <c r="G162" s="81">
        <f>IFERROR(IF(F162=$AB$2,"",VLOOKUP(F162,'DATASHEET EQUIPAMENTOS'!D:N,2,FALSE)),"")</f>
        <v/>
      </c>
      <c r="H162" s="82" t="inlineStr">
        <is>
          <t>4x30lbs</t>
        </is>
      </c>
      <c r="I162" s="57">
        <f>_xlfn.XLOOKUP(Tabela2[[#This Row],[Modelo]],'DATASHEET EQUIPAMENTOS'!D:D,'DATASHEET EQUIPAMENTOS'!P:P,"",0,1)</f>
        <v/>
      </c>
      <c r="J162" s="81">
        <f>IF(F162=$Z$2,"",VLOOKUP(F162,'DATASHEET EQUIPAMENTOS'!D:N,3,FALSE))</f>
        <v/>
      </c>
      <c r="K162" s="85" t="n">
        <v>0</v>
      </c>
      <c r="L162" s="95">
        <f>IF(AZ162="CONFORME","CONFORME ✓","NÃO CONFORME ✗")</f>
        <v/>
      </c>
      <c r="M162" s="102">
        <f>IF(F162=$Z$2,"",VLOOKUP(F162,'DATASHEET EQUIPAMENTOS'!D:N,4,FALSE))</f>
        <v/>
      </c>
      <c r="N162" s="108" t="inlineStr">
        <is>
          <t>Linear</t>
        </is>
      </c>
      <c r="O162" s="102">
        <f>IF(F162=$Z$2,"",VLOOKUP(F162,'DATASHEET EQUIPAMENTOS'!D:N,5,FALSE))</f>
        <v/>
      </c>
      <c r="P162" s="103" t="n"/>
      <c r="Q162" s="102">
        <f>IF(F162=$Z$2,"",VLOOKUP(F162,'DATASHEET EQUIPAMENTOS'!D:N,6,FALSE))</f>
        <v/>
      </c>
      <c r="R162" s="104" t="n"/>
      <c r="S162" s="95">
        <f>IF(Tabela2[[#This Row],[Instalado Sensor Motor]]="Linear","CONFORME ✓",IF(SUM(M162,O162,Q162)&lt;SUM(N162,P162,R162),"CONFORME ✓",IF(SUM(M162,O162,Q162)=SUM(N162,P162,R162),"CONFORME ✓","NÃO CONFORME ✗")))</f>
        <v/>
      </c>
      <c r="T162" s="91">
        <f>IF(F162=$Z$2,"",VLOOKUP(F162,'DATASHEET EQUIPAMENTOS'!D:N,7,FALSE))</f>
        <v/>
      </c>
      <c r="U162" s="62" t="n">
        <v>18</v>
      </c>
      <c r="V162" s="56">
        <f>IF(F162=$Z$2,"",VLOOKUP(F162,'DATASHEET EQUIPAMENTOS'!D:N,8,FALSE))</f>
        <v/>
      </c>
      <c r="W162" s="62" t="n">
        <v>3</v>
      </c>
      <c r="X162" s="56">
        <f>IF(F162=$Z$2,"",VLOOKUP(F162,'DATASHEET EQUIPAMENTOS'!D:N,9,FALSE))</f>
        <v/>
      </c>
      <c r="Y162" s="62" t="n">
        <v>3</v>
      </c>
      <c r="Z162" s="57">
        <f>IF(SUM(T162,V162,X162)&lt;=SUM(U162,W162,Y162),"CONFORME ✓",IF(SUM(T162,V162,X162)&gt;SUM(U162,W162,Y162),"NÃO CONFORME ✗"))</f>
        <v/>
      </c>
      <c r="AA162" s="56">
        <f>IF(F162=$Z$2,"",VLOOKUP(F162,'DATASHEET EQUIPAMENTOS'!D:N,10,FALSE))</f>
        <v/>
      </c>
      <c r="AB162" s="57" t="n"/>
      <c r="AC162" s="56">
        <f>IF(F162=$Z$2,"",VLOOKUP(F162,'DATASHEET EQUIPAMENTOS'!D:N,11,FALSE))</f>
        <v/>
      </c>
      <c r="AD162" s="57" t="n"/>
      <c r="AE162" s="56">
        <f>IF(F162=$Z$2,"",VLOOKUP(F162,'DATASHEET EQUIPAMENTOS'!D:O,12,FALSE))</f>
        <v/>
      </c>
      <c r="AF162" s="57" t="n"/>
      <c r="AG162" s="57">
        <f>IF(SUM(AA162,AC162,AE162)&lt;=SUM(AB162,AD162,AF162),"CONFORME ✓",IF(SUM(AA162,AC162,AE162)&gt;SUM(AB162,AD162,AF162),"NÃO CONFORME ✗"))</f>
        <v/>
      </c>
      <c r="AH162" s="72" t="n">
        <v>2.5</v>
      </c>
      <c r="AI162" s="72" t="n">
        <v>2</v>
      </c>
      <c r="AJ162" s="72" t="n">
        <v>3</v>
      </c>
      <c r="AK162" s="7" t="inlineStr">
        <is>
          <t>REFAZER FIXAÇÃO DO CABO LINEAR E FIXAÇÃO DE MANGUEIRAS; REPOSICIONAR VARAL DE DISTRIBUIÇÃO DOS BICOS DA TRANSMISSÃO E BOMBAS</t>
        </is>
      </c>
      <c r="AL162" s="58">
        <f>IFERROR(CALCULOS!H157,"NECESSÁRIO REVISAR DATASHEET")</f>
        <v/>
      </c>
      <c r="AM16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2" s="64">
        <f>SUM(Tabela2[[#This Row],[Nota de Prioridade Quantitativa(NOTAS: 1 PIOR NOTA; 5 MELHOR NOTA)]],Tabela2[[#This Row],[Nota de Prioridade Qualitativa(NOTAS: 1 PIOR NOTA;  5 MELHOR NOTA)]])</f>
        <v/>
      </c>
      <c r="AO162" s="7" t="n">
        <v>150048</v>
      </c>
      <c r="AP162" s="64">
        <f>SUM(Tabela2[[#This Row],[Nota de Prioridade Quantitativa(NOTAS: 1 PIOR NOTA; 5 MELHOR NOTA)]],Tabela2[[#This Row],[Nota de Prioridade Qualitativa(NOTAS: 1 PIOR NOTA;  5 MELHOR NOTA)]])</f>
        <v/>
      </c>
      <c r="AQ162" s="7" t="n"/>
      <c r="AR162" s="64">
        <f>SUM(Tabela2[[#This Row],[Nota de Prioridade Quantitativa(NOTAS: 1 PIOR NOTA; 5 MELHOR NOTA)]],Tabela2[[#This Row],[Nota de Prioridade Qualitativa(NOTAS: 1 PIOR NOTA;  5 MELHOR NOTA)]])</f>
        <v/>
      </c>
      <c r="AS162" s="7" t="n"/>
      <c r="AZ162" s="20">
        <f t="array" ref="AZ162">StatusCarga(G162,H162,J162,K162)</f>
        <v/>
      </c>
      <c r="BA162" s="20">
        <f>IF(AZ162="CONFORME","CONFORME ✓","NÃO CONFORME ✗")</f>
        <v/>
      </c>
      <c r="BB162" t="n">
        <v>0</v>
      </c>
      <c r="BC162" t="n">
        <v>120</v>
      </c>
      <c r="BD162" t="n">
        <v>0</v>
      </c>
      <c r="BE162" t="n">
        <v>0</v>
      </c>
      <c r="BF162" t="inlineStr">
        <is>
          <t>CONFORME</t>
        </is>
      </c>
    </row>
    <row r="163" hidden="1" ht="21.75" customHeight="1" thickBot="1">
      <c r="A163" s="77" t="inlineStr">
        <is>
          <t>Mariana</t>
        </is>
      </c>
      <c r="B163" s="77" t="inlineStr">
        <is>
          <t>Fabrica Nova</t>
        </is>
      </c>
      <c r="C163" s="80" t="inlineStr">
        <is>
          <t>CA5415</t>
        </is>
      </c>
      <c r="D163" s="80" t="inlineStr">
        <is>
          <t>KIDDE</t>
        </is>
      </c>
      <c r="E163" s="78" t="inlineStr">
        <is>
          <t>CATERPILLAR</t>
        </is>
      </c>
      <c r="F163" s="80" t="inlineStr">
        <is>
          <t>cat 785C</t>
        </is>
      </c>
      <c r="G163" s="81">
        <f>IFERROR(IF(F163=$AB$2,"",VLOOKUP(F163,'DATASHEET EQUIPAMENTOS'!D:N,2,FALSE)),"")</f>
        <v/>
      </c>
      <c r="H163" s="82" t="inlineStr">
        <is>
          <t>2x50lbs</t>
        </is>
      </c>
      <c r="I163" s="57">
        <f>_xlfn.XLOOKUP(Tabela2[[#This Row],[Modelo]],'DATASHEET EQUIPAMENTOS'!D:D,'DATASHEET EQUIPAMENTOS'!P:P,"",0,1)</f>
        <v/>
      </c>
      <c r="J163" s="81">
        <f>IF(F163=$Z$2,"",VLOOKUP(F163,'DATASHEET EQUIPAMENTOS'!D:N,3,FALSE))</f>
        <v/>
      </c>
      <c r="K163" s="85" t="inlineStr">
        <is>
          <t>1x15gal</t>
        </is>
      </c>
      <c r="L163" s="95">
        <f>IF(AZ163="CONFORME","CONFORME ✓","NÃO CONFORME ✗")</f>
        <v/>
      </c>
      <c r="M163" s="102">
        <f>IF(F163=$Z$2,"",VLOOKUP(F163,'DATASHEET EQUIPAMENTOS'!D:N,4,FALSE))</f>
        <v/>
      </c>
      <c r="N163" s="108" t="inlineStr">
        <is>
          <t>Linear</t>
        </is>
      </c>
      <c r="O163" s="102">
        <f>IF(F163=$Z$2,"",VLOOKUP(F163,'DATASHEET EQUIPAMENTOS'!D:N,5,FALSE))</f>
        <v/>
      </c>
      <c r="P163" s="103" t="n"/>
      <c r="Q163" s="102">
        <f>IF(F163=$Z$2,"",VLOOKUP(F163,'DATASHEET EQUIPAMENTOS'!D:N,6,FALSE))</f>
        <v/>
      </c>
      <c r="R163" s="104" t="n"/>
      <c r="S163" s="95">
        <f>IF(Tabela2[[#This Row],[Instalado Sensor Motor]]="Linear","CONFORME ✓",IF(SUM(M163,O163,Q163)&lt;SUM(N163,P163,R163),"CONFORME ✓",IF(SUM(M163,O163,Q163)=SUM(N163,P163,R163),"CONFORME ✓","NÃO CONFORME ✗")))</f>
        <v/>
      </c>
      <c r="T163" s="91">
        <f>IF(F163=$Z$2,"",VLOOKUP(F163,'DATASHEET EQUIPAMENTOS'!D:N,7,FALSE))</f>
        <v/>
      </c>
      <c r="U163" s="57" t="n">
        <v>6</v>
      </c>
      <c r="V163" s="56">
        <f>IF(F163=$Z$2,"",VLOOKUP(F163,'DATASHEET EQUIPAMENTOS'!D:N,8,FALSE))</f>
        <v/>
      </c>
      <c r="W163" s="57" t="n">
        <v>2</v>
      </c>
      <c r="X163" s="56">
        <f>IF(F163=$Z$2,"",VLOOKUP(F163,'DATASHEET EQUIPAMENTOS'!D:N,9,FALSE))</f>
        <v/>
      </c>
      <c r="Y163" s="57" t="n">
        <v>2</v>
      </c>
      <c r="Z163" s="57">
        <f>IF(SUM(T163,V163,X163)&lt;=SUM(U163,W163,Y163),"CONFORME ✓",IF(SUM(T163,V163,X163)&gt;SUM(U163,W163,Y163),"NÃO CONFORME ✗"))</f>
        <v/>
      </c>
      <c r="AA163" s="56">
        <f>IF(F163=$Z$2,"",VLOOKUP(F163,'DATASHEET EQUIPAMENTOS'!D:N,10,FALSE))</f>
        <v/>
      </c>
      <c r="AB163" s="62" t="n">
        <v>8</v>
      </c>
      <c r="AC163" s="56">
        <f>IF(F163=$Z$2,"",VLOOKUP(F163,'DATASHEET EQUIPAMENTOS'!D:N,11,FALSE))</f>
        <v/>
      </c>
      <c r="AD163" s="62" t="n">
        <v>0</v>
      </c>
      <c r="AE163" s="56">
        <f>IF(F163=$Z$2,"",VLOOKUP(F163,'DATASHEET EQUIPAMENTOS'!D:O,12,FALSE))</f>
        <v/>
      </c>
      <c r="AF163" s="57" t="n">
        <v>0</v>
      </c>
      <c r="AG163" s="57">
        <f>IF(SUM(AA163,AC163,AE163)&lt;=SUM(AB163,AD163,AF163),"CONFORME ✓",IF(SUM(AA163,AC163,AE163)&gt;SUM(AB163,AD163,AF163),"NÃO CONFORME ✗"))</f>
        <v/>
      </c>
      <c r="AH163" s="72" t="n">
        <v>3.5</v>
      </c>
      <c r="AI163" s="72" t="n">
        <v>4.5</v>
      </c>
      <c r="AJ163" s="72" t="n">
        <v>2</v>
      </c>
      <c r="AK163" s="7" t="inlineStr">
        <is>
          <t>REALIZAR AVALIAÇÃO DO POSICIONAMENTO DO ATUADOR E PAINEL DE MONITORAMENTO SE NECESSÁRIO REALIZAR ALTERAÇÃO; MELHORAR FIXAÇÃO DOS CABOS LINEAR; VOLTAR NO EQUIPAMENTO PARA RECONTAGEM DE BICOS PQS</t>
        </is>
      </c>
      <c r="AL163" s="58">
        <f>IFERROR(CALCULOS!H158,"NECESSÁRIO REVISAR DATASHEET")</f>
        <v/>
      </c>
      <c r="AM16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3" s="64">
        <f>SUM(Tabela2[[#This Row],[Nota de Prioridade Quantitativa(NOTAS: 1 PIOR NOTA; 5 MELHOR NOTA)]],Tabela2[[#This Row],[Nota de Prioridade Qualitativa(NOTAS: 1 PIOR NOTA;  5 MELHOR NOTA)]])</f>
        <v/>
      </c>
      <c r="AO163" s="7" t="n">
        <v>150046</v>
      </c>
      <c r="AP163" s="64">
        <f>SUM(Tabela2[[#This Row],[Nota de Prioridade Quantitativa(NOTAS: 1 PIOR NOTA; 5 MELHOR NOTA)]],Tabela2[[#This Row],[Nota de Prioridade Qualitativa(NOTAS: 1 PIOR NOTA;  5 MELHOR NOTA)]])</f>
        <v/>
      </c>
      <c r="AQ163" s="7" t="n"/>
      <c r="AR163" s="64">
        <f>SUM(Tabela2[[#This Row],[Nota de Prioridade Quantitativa(NOTAS: 1 PIOR NOTA; 5 MELHOR NOTA)]],Tabela2[[#This Row],[Nota de Prioridade Qualitativa(NOTAS: 1 PIOR NOTA;  5 MELHOR NOTA)]])</f>
        <v/>
      </c>
      <c r="AS163" s="7" t="n"/>
      <c r="AZ163" s="20">
        <f t="array" ref="AZ163">StatusCarga(G163,H163,J163,K163)</f>
        <v/>
      </c>
      <c r="BA163" s="20">
        <f>IF(AZ163="CONFORME","CONFORME ✓","NÃO CONFORME ✗")</f>
        <v/>
      </c>
      <c r="BB163" t="n">
        <v>0</v>
      </c>
      <c r="BC163" t="n">
        <v>100</v>
      </c>
      <c r="BD163" t="n">
        <v>0</v>
      </c>
      <c r="BE163" t="n">
        <v>15</v>
      </c>
      <c r="BF163" t="inlineStr">
        <is>
          <t>CONFORME</t>
        </is>
      </c>
    </row>
    <row r="164" hidden="1" ht="21.75" customHeight="1" thickBot="1">
      <c r="A164" s="77" t="inlineStr">
        <is>
          <t>Paraoupeba</t>
        </is>
      </c>
      <c r="B164" s="77" t="inlineStr">
        <is>
          <t>Horizontes</t>
        </is>
      </c>
      <c r="C164" s="80" t="inlineStr">
        <is>
          <t>EM3008</t>
        </is>
      </c>
      <c r="D164" s="80" t="inlineStr">
        <is>
          <t>KIDDE</t>
        </is>
      </c>
      <c r="E164" s="78" t="inlineStr">
        <is>
          <t>KOMATSU</t>
        </is>
      </c>
      <c r="F164" s="80" t="inlineStr">
        <is>
          <t>KOMATSU PC4000</t>
        </is>
      </c>
      <c r="G164" s="81">
        <f>IFERROR(IF(F164=$AB$2,"",VLOOKUP(F164,'DATASHEET EQUIPAMENTOS'!D:N,2,FALSE)),"")</f>
        <v/>
      </c>
      <c r="H164" s="82" t="inlineStr">
        <is>
          <t>3x68lbs</t>
        </is>
      </c>
      <c r="I164" s="57">
        <f>_xlfn.XLOOKUP(Tabela2[[#This Row],[Modelo]],'DATASHEET EQUIPAMENTOS'!D:D,'DATASHEET EQUIPAMENTOS'!P:P,"",0,1)</f>
        <v/>
      </c>
      <c r="J164" s="81">
        <f>IF(F164=$Z$2,"",VLOOKUP(F164,'DATASHEET EQUIPAMENTOS'!D:N,3,FALSE))</f>
        <v/>
      </c>
      <c r="K164" s="85" t="n">
        <v>0</v>
      </c>
      <c r="L164" s="95">
        <f>IF(AZ164="CONFORME","CONFORME ✓","NÃO CONFORME ✗")</f>
        <v/>
      </c>
      <c r="M164" s="102">
        <f>IF(F164=$Z$2,"",VLOOKUP(F164,'DATASHEET EQUIPAMENTOS'!D:N,4,FALSE))</f>
        <v/>
      </c>
      <c r="N164" s="108" t="inlineStr">
        <is>
          <t>Linear</t>
        </is>
      </c>
      <c r="O164" s="102">
        <f>IF(F164=$Z$2,"",VLOOKUP(F164,'DATASHEET EQUIPAMENTOS'!D:N,5,FALSE))</f>
        <v/>
      </c>
      <c r="P164" s="103" t="n"/>
      <c r="Q164" s="102">
        <f>IF(F164=$Z$2,"",VLOOKUP(F164,'DATASHEET EQUIPAMENTOS'!D:N,6,FALSE))</f>
        <v/>
      </c>
      <c r="R164" s="104" t="n"/>
      <c r="S164" s="95">
        <f>IF(Tabela2[[#This Row],[Instalado Sensor Motor]]="Linear","CONFORME ✓",IF(SUM(M164,O164,Q164)&lt;SUM(N164,P164,R164),"CONFORME ✓",IF(SUM(M164,O164,Q164)=SUM(N164,P164,R164),"CONFORME ✓","NÃO CONFORME ✗")))</f>
        <v/>
      </c>
      <c r="T164" s="91">
        <f>IF(F164=$Z$2,"",VLOOKUP(F164,'DATASHEET EQUIPAMENTOS'!D:N,7,FALSE))</f>
        <v/>
      </c>
      <c r="U164" s="57" t="n">
        <v>8</v>
      </c>
      <c r="V164" s="56">
        <f>IF(F164=$Z$2,"",VLOOKUP(F164,'DATASHEET EQUIPAMENTOS'!D:N,8,FALSE))</f>
        <v/>
      </c>
      <c r="W164" s="57" t="n"/>
      <c r="X164" s="56">
        <f>IF(F164=$Z$2,"",VLOOKUP(F164,'DATASHEET EQUIPAMENTOS'!D:N,9,FALSE))</f>
        <v/>
      </c>
      <c r="Y164" s="57" t="n">
        <v>16</v>
      </c>
      <c r="Z164" s="57">
        <f>IF(SUM(T164,V164,X164)&lt;=SUM(U164,W164,Y164),"CONFORME ✓",IF(SUM(T164,V164,X164)&gt;SUM(U164,W164,Y164),"NÃO CONFORME ✗"))</f>
        <v/>
      </c>
      <c r="AA164" s="56">
        <f>IF(F164=$Z$2,"",VLOOKUP(F164,'DATASHEET EQUIPAMENTOS'!D:N,10,FALSE))</f>
        <v/>
      </c>
      <c r="AB164" s="57" t="n"/>
      <c r="AC164" s="56">
        <f>IF(F164=$Z$2,"",VLOOKUP(F164,'DATASHEET EQUIPAMENTOS'!D:N,11,FALSE))</f>
        <v/>
      </c>
      <c r="AD164" s="57" t="n"/>
      <c r="AE164" s="56">
        <f>IF(F164=$Z$2,"",VLOOKUP(F164,'DATASHEET EQUIPAMENTOS'!D:O,12,FALSE))</f>
        <v/>
      </c>
      <c r="AF164" s="57" t="n"/>
      <c r="AG164" s="57">
        <f>IF(SUM(AA164,AC164,AE164)&lt;=SUM(AB164,AD164,AF164),"CONFORME ✓",IF(SUM(AA164,AC164,AE164)&gt;SUM(AB164,AD164,AF164),"NÃO CONFORME ✗"))</f>
        <v/>
      </c>
      <c r="AH164" s="72" t="n">
        <v>4.5</v>
      </c>
      <c r="AI164" s="72" t="n">
        <v>4.5</v>
      </c>
      <c r="AJ164" s="72" t="n">
        <v>2</v>
      </c>
      <c r="AK164" s="7" t="inlineStr">
        <is>
          <t>REPOSICIONAR PAINEL MONITOR E ACIONADOR INTERNO</t>
        </is>
      </c>
      <c r="AL164" s="58">
        <f>IFERROR(CALCULOS!H159,"NECESSÁRIO REVISAR DATASHEET")</f>
        <v/>
      </c>
      <c r="AM16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4" s="64">
        <f>SUM(Tabela2[[#This Row],[Nota de Prioridade Quantitativa(NOTAS: 1 PIOR NOTA; 5 MELHOR NOTA)]],Tabela2[[#This Row],[Nota de Prioridade Qualitativa(NOTAS: 1 PIOR NOTA;  5 MELHOR NOTA)]])</f>
        <v/>
      </c>
      <c r="AO164" s="7" t="n">
        <v>151581</v>
      </c>
      <c r="AP164" s="64">
        <f>SUM(Tabela2[[#This Row],[Nota de Prioridade Quantitativa(NOTAS: 1 PIOR NOTA; 5 MELHOR NOTA)]],Tabela2[[#This Row],[Nota de Prioridade Qualitativa(NOTAS: 1 PIOR NOTA;  5 MELHOR NOTA)]])</f>
        <v/>
      </c>
      <c r="AQ164" s="7" t="inlineStr">
        <is>
          <t>Qualificado por Rennan</t>
        </is>
      </c>
      <c r="AR164" s="64">
        <f>SUM(Tabela2[[#This Row],[Nota de Prioridade Quantitativa(NOTAS: 1 PIOR NOTA; 5 MELHOR NOTA)]],Tabela2[[#This Row],[Nota de Prioridade Qualitativa(NOTAS: 1 PIOR NOTA;  5 MELHOR NOTA)]])</f>
        <v/>
      </c>
      <c r="AS164" s="7" t="n"/>
      <c r="AZ164" s="20">
        <f t="array" ref="AZ164">StatusCarga(G164,H164,J164,K164)</f>
        <v/>
      </c>
      <c r="BA164" s="20">
        <f>IF(AZ164="CONFORME","CONFORME ✓","NÃO CONFORME ✗")</f>
        <v/>
      </c>
      <c r="BB164" t="n">
        <v>0</v>
      </c>
      <c r="BC164" t="n">
        <v>204</v>
      </c>
      <c r="BD164" t="n">
        <v>0</v>
      </c>
      <c r="BE164" t="n">
        <v>0</v>
      </c>
      <c r="BF164" t="inlineStr">
        <is>
          <t>CONFORME</t>
        </is>
      </c>
    </row>
    <row r="165" hidden="1" ht="21.75" customHeight="1" thickBot="1">
      <c r="A165" s="77" t="inlineStr">
        <is>
          <t>Paraoupeba</t>
        </is>
      </c>
      <c r="B165" s="77" t="inlineStr">
        <is>
          <t>Horizontes</t>
        </is>
      </c>
      <c r="C165" s="80" t="inlineStr">
        <is>
          <t>TP4305</t>
        </is>
      </c>
      <c r="D165" s="80" t="inlineStr">
        <is>
          <t>KIDDE</t>
        </is>
      </c>
      <c r="E165" s="78" t="inlineStr">
        <is>
          <t>KOMATSU</t>
        </is>
      </c>
      <c r="F165" s="80" t="inlineStr">
        <is>
          <t>KOMATSU WD600</t>
        </is>
      </c>
      <c r="G165" s="81">
        <f>IFERROR(IF(F165=$AB$2,"",VLOOKUP(F165,'DATASHEET EQUIPAMENTOS'!D:N,2,FALSE)),"")</f>
        <v/>
      </c>
      <c r="H165" s="82" t="inlineStr">
        <is>
          <t>1x50lbs</t>
        </is>
      </c>
      <c r="I165" s="57">
        <f>_xlfn.XLOOKUP(Tabela2[[#This Row],[Modelo]],'DATASHEET EQUIPAMENTOS'!D:D,'DATASHEET EQUIPAMENTOS'!P:P,"",0,1)</f>
        <v/>
      </c>
      <c r="J165" s="81">
        <f>IF(F165=$Z$2,"",VLOOKUP(F165,'DATASHEET EQUIPAMENTOS'!D:N,3,FALSE))</f>
        <v/>
      </c>
      <c r="K165" s="85" t="n">
        <v>0</v>
      </c>
      <c r="L165" s="95">
        <f>IF(AZ165="CONFORME","CONFORME ✓","NÃO CONFORME ✗")</f>
        <v/>
      </c>
      <c r="M165" s="102">
        <f>IF(F165=$Z$2,"",VLOOKUP(F165,'DATASHEET EQUIPAMENTOS'!D:N,4,FALSE))</f>
        <v/>
      </c>
      <c r="N165" s="108" t="inlineStr">
        <is>
          <t>Linear</t>
        </is>
      </c>
      <c r="O165" s="102">
        <f>IF(F165=$Z$2,"",VLOOKUP(F165,'DATASHEET EQUIPAMENTOS'!D:N,5,FALSE))</f>
        <v/>
      </c>
      <c r="P165" s="103" t="n"/>
      <c r="Q165" s="102">
        <f>IF(F165=$Z$2,"",VLOOKUP(F165,'DATASHEET EQUIPAMENTOS'!D:N,6,FALSE))</f>
        <v/>
      </c>
      <c r="R165" s="104" t="n"/>
      <c r="S165" s="95">
        <f>IF(Tabela2[[#This Row],[Instalado Sensor Motor]]="Linear","CONFORME ✓",IF(SUM(M165,O165,Q165)&lt;SUM(N165,P165,R165),"CONFORME ✓",IF(SUM(M165,O165,Q165)=SUM(N165,P165,R165),"CONFORME ✓","NÃO CONFORME ✗")))</f>
        <v/>
      </c>
      <c r="T165" s="91">
        <f>IF(F165=$Z$2,"",VLOOKUP(F165,'DATASHEET EQUIPAMENTOS'!D:N,7,FALSE))</f>
        <v/>
      </c>
      <c r="U165" s="57" t="n">
        <v>3</v>
      </c>
      <c r="V165" s="56">
        <f>IF(F165=$Z$2,"",VLOOKUP(F165,'DATASHEET EQUIPAMENTOS'!D:N,8,FALSE))</f>
        <v/>
      </c>
      <c r="W165" s="57" t="n">
        <v>1</v>
      </c>
      <c r="X165" s="56">
        <f>IF(F165=$Z$2,"",VLOOKUP(F165,'DATASHEET EQUIPAMENTOS'!D:N,9,FALSE))</f>
        <v/>
      </c>
      <c r="Y165" s="57" t="n">
        <v>0</v>
      </c>
      <c r="Z165" s="57">
        <f>IF(SUM(T165,V165,X165)&lt;=SUM(U165,W165,Y165),"CONFORME ✓",IF(SUM(T165,V165,X165)&gt;SUM(U165,W165,Y165),"NÃO CONFORME ✗"))</f>
        <v/>
      </c>
      <c r="AA165" s="56">
        <f>IF(F165=$Z$2,"",VLOOKUP(F165,'DATASHEET EQUIPAMENTOS'!D:N,10,FALSE))</f>
        <v/>
      </c>
      <c r="AB165" s="57" t="n">
        <v>0</v>
      </c>
      <c r="AC165" s="56">
        <f>IF(F165=$Z$2,"",VLOOKUP(F165,'DATASHEET EQUIPAMENTOS'!D:N,11,FALSE))</f>
        <v/>
      </c>
      <c r="AD165" s="57" t="n">
        <v>0</v>
      </c>
      <c r="AE165" s="56">
        <f>IF(F165=$Z$2,"",VLOOKUP(F165,'DATASHEET EQUIPAMENTOS'!D:O,12,FALSE))</f>
        <v/>
      </c>
      <c r="AF165" s="57" t="n">
        <v>0</v>
      </c>
      <c r="AG165" s="57">
        <f>IF(SUM(AA165,AC165,AE165)&lt;=SUM(AB165,AD165,AF165),"CONFORME ✓",IF(SUM(AA165,AC165,AE165)&gt;SUM(AB165,AD165,AF165),"NÃO CONFORME ✗"))</f>
        <v/>
      </c>
      <c r="AH165" s="72" t="n">
        <v>3</v>
      </c>
      <c r="AI165" s="72" t="n">
        <v>5</v>
      </c>
      <c r="AJ165" s="72" t="n">
        <v>4</v>
      </c>
      <c r="AK165" s="7" t="inlineStr">
        <is>
          <t>AVALIAR POSICIONAMENTO ATUADOR INTERNO SE NECESSÁRIO REPOSICIONAR; REPOSICIONAR CABO LINEAR LHS</t>
        </is>
      </c>
      <c r="AL165" s="58">
        <f>IFERROR(CALCULOS!H160,"NECESSÁRIO REVISAR DATASHEET")</f>
        <v/>
      </c>
      <c r="AM16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5" s="64">
        <f>SUM(Tabela2[[#This Row],[Nota de Prioridade Quantitativa(NOTAS: 1 PIOR NOTA; 5 MELHOR NOTA)]],Tabela2[[#This Row],[Nota de Prioridade Qualitativa(NOTAS: 1 PIOR NOTA;  5 MELHOR NOTA)]])</f>
        <v/>
      </c>
      <c r="AO165" s="7" t="n">
        <v>150610</v>
      </c>
      <c r="AP165" s="64">
        <f>SUM(Tabela2[[#This Row],[Nota de Prioridade Quantitativa(NOTAS: 1 PIOR NOTA; 5 MELHOR NOTA)]],Tabela2[[#This Row],[Nota de Prioridade Qualitativa(NOTAS: 1 PIOR NOTA;  5 MELHOR NOTA)]])</f>
        <v/>
      </c>
      <c r="AQ165" s="7" t="inlineStr">
        <is>
          <t>Qualificado por Rennan</t>
        </is>
      </c>
      <c r="AR165" s="64">
        <f>SUM(Tabela2[[#This Row],[Nota de Prioridade Quantitativa(NOTAS: 1 PIOR NOTA; 5 MELHOR NOTA)]],Tabela2[[#This Row],[Nota de Prioridade Qualitativa(NOTAS: 1 PIOR NOTA;  5 MELHOR NOTA)]])</f>
        <v/>
      </c>
      <c r="AS165" s="7" t="n"/>
      <c r="AZ165" s="20">
        <f t="array" ref="AZ165">StatusCarga(G165,H165,J165,K165)</f>
        <v/>
      </c>
      <c r="BA165" s="20">
        <f>IF(AZ165="CONFORME","CONFORME ✓","NÃO CONFORME ✗")</f>
        <v/>
      </c>
      <c r="BB165" t="n">
        <v>0</v>
      </c>
      <c r="BC165" t="n">
        <v>50</v>
      </c>
      <c r="BD165" t="n">
        <v>0</v>
      </c>
      <c r="BE165" t="n">
        <v>0</v>
      </c>
      <c r="BF165" t="inlineStr">
        <is>
          <t>CONFORME</t>
        </is>
      </c>
    </row>
    <row r="166" hidden="1" ht="21.75" customHeight="1" thickBot="1">
      <c r="A166" s="77" t="inlineStr">
        <is>
          <t>Paraoupeba</t>
        </is>
      </c>
      <c r="B166" s="77" t="inlineStr">
        <is>
          <t>Horizontes</t>
        </is>
      </c>
      <c r="C166" s="80" t="inlineStr">
        <is>
          <t>MT2605</t>
        </is>
      </c>
      <c r="D166" s="80" t="inlineStr">
        <is>
          <t>AFEX</t>
        </is>
      </c>
      <c r="E166" s="80" t="inlineStr">
        <is>
          <t>MANITOU</t>
        </is>
      </c>
      <c r="F166" s="80" t="inlineStr">
        <is>
          <t>MANITOU</t>
        </is>
      </c>
      <c r="G166" s="81">
        <f>IFERROR(IF(F166=$AB$2,"",VLOOKUP(F166,'DATASHEET EQUIPAMENTOS'!D:N,2,FALSE)),"")</f>
        <v/>
      </c>
      <c r="H166" s="82" t="inlineStr">
        <is>
          <t>1x30lbs</t>
        </is>
      </c>
      <c r="I166" s="57">
        <f>_xlfn.XLOOKUP(Tabela2[[#This Row],[Modelo]],'DATASHEET EQUIPAMENTOS'!D:D,'DATASHEET EQUIPAMENTOS'!P:P,"",0,1)</f>
        <v/>
      </c>
      <c r="J166" s="81">
        <f>IF(F166=$Z$2,"",VLOOKUP(F166,'DATASHEET EQUIPAMENTOS'!D:N,3,FALSE))</f>
        <v/>
      </c>
      <c r="K166" s="85" t="inlineStr">
        <is>
          <t>1x5gal</t>
        </is>
      </c>
      <c r="L166" s="95">
        <f>IF(AZ166="CONFORME","CONFORME ✓","NÃO CONFORME ✗")</f>
        <v/>
      </c>
      <c r="M166" s="102">
        <f>IF(F166=$Z$2,"",VLOOKUP(F166,'DATASHEET EQUIPAMENTOS'!D:N,4,FALSE))</f>
        <v/>
      </c>
      <c r="N166" s="108" t="n">
        <v>3</v>
      </c>
      <c r="O166" s="102">
        <f>IF(F166=$Z$2,"",VLOOKUP(F166,'DATASHEET EQUIPAMENTOS'!D:N,5,FALSE))</f>
        <v/>
      </c>
      <c r="P166" s="103" t="n">
        <v>0</v>
      </c>
      <c r="Q166" s="102">
        <f>IF(F166=$Z$2,"",VLOOKUP(F166,'DATASHEET EQUIPAMENTOS'!D:N,6,FALSE))</f>
        <v/>
      </c>
      <c r="R166" s="104" t="n">
        <v>0</v>
      </c>
      <c r="S166" s="95">
        <f>IF(Tabela2[[#This Row],[Instalado Sensor Motor]]="Linear","CONFORME ✓",IF(SUM(M166,O166,Q166)&lt;SUM(N166,P166,R166),"CONFORME ✓",IF(SUM(M166,O166,Q166)=SUM(N166,P166,R166),"CONFORME ✓","NÃO CONFORME ✗")))</f>
        <v/>
      </c>
      <c r="T166" s="91">
        <f>IF(F166=$Z$2,"",VLOOKUP(F166,'DATASHEET EQUIPAMENTOS'!D:N,7,FALSE))</f>
        <v/>
      </c>
      <c r="U166" s="57" t="n">
        <v>3</v>
      </c>
      <c r="V166" s="56">
        <f>IF(F166=$Z$2,"",VLOOKUP(F166,'DATASHEET EQUIPAMENTOS'!D:N,8,FALSE))</f>
        <v/>
      </c>
      <c r="W166" s="57" t="n">
        <v>0</v>
      </c>
      <c r="X166" s="56">
        <f>IF(F166=$Z$2,"",VLOOKUP(F166,'DATASHEET EQUIPAMENTOS'!D:N,9,FALSE))</f>
        <v/>
      </c>
      <c r="Y166" s="57" t="n">
        <v>0</v>
      </c>
      <c r="Z166" s="57">
        <f>IF(SUM(T166,V166,X166)&lt;=SUM(U166,W166,Y166),"CONFORME ✓",IF(SUM(T166,V166,X166)&gt;SUM(U166,W166,Y166),"NÃO CONFORME ✗"))</f>
        <v/>
      </c>
      <c r="AA166" s="56">
        <f>IF(F166=$Z$2,"",VLOOKUP(F166,'DATASHEET EQUIPAMENTOS'!D:N,10,FALSE))</f>
        <v/>
      </c>
      <c r="AB166" s="57" t="n">
        <v>2</v>
      </c>
      <c r="AC166" s="56">
        <f>IF(F166=$Z$2,"",VLOOKUP(F166,'DATASHEET EQUIPAMENTOS'!D:N,11,FALSE))</f>
        <v/>
      </c>
      <c r="AD166" s="57" t="n">
        <v>0</v>
      </c>
      <c r="AE166" s="56">
        <f>IF(F166=$Z$2,"",VLOOKUP(F166,'DATASHEET EQUIPAMENTOS'!D:O,12,FALSE))</f>
        <v/>
      </c>
      <c r="AF166" s="57" t="n">
        <v>0</v>
      </c>
      <c r="AG166" s="57">
        <f>IF(SUM(AA166,AC166,AE166)&lt;=SUM(AB166,AD166,AF166),"CONFORME ✓",IF(SUM(AA166,AC166,AE166)&gt;SUM(AB166,AD166,AF166),"NÃO CONFORME ✗"))</f>
        <v/>
      </c>
      <c r="AH166" s="72" t="n">
        <v>3.5</v>
      </c>
      <c r="AI166" s="72" t="n">
        <v>3</v>
      </c>
      <c r="AJ166" s="72" t="n">
        <v>5</v>
      </c>
      <c r="AK166" s="7" t="inlineStr">
        <is>
          <t xml:space="preserve">REPOSICIONAR BICOS DE AGENTE PQS; REPOSICIONAR SENSORES </t>
        </is>
      </c>
      <c r="AL166" s="58">
        <f>IFERROR(CALCULOS!H161,"NECESSÁRIO REVISAR DATASHEET")</f>
        <v/>
      </c>
      <c r="AM16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6" s="64">
        <f>SUM(Tabela2[[#This Row],[Nota de Prioridade Quantitativa(NOTAS: 1 PIOR NOTA; 5 MELHOR NOTA)]],Tabela2[[#This Row],[Nota de Prioridade Qualitativa(NOTAS: 1 PIOR NOTA;  5 MELHOR NOTA)]])</f>
        <v/>
      </c>
      <c r="AO166" s="7" t="n">
        <v>150143</v>
      </c>
      <c r="AP166" s="64">
        <f>SUM(Tabela2[[#This Row],[Nota de Prioridade Quantitativa(NOTAS: 1 PIOR NOTA; 5 MELHOR NOTA)]],Tabela2[[#This Row],[Nota de Prioridade Qualitativa(NOTAS: 1 PIOR NOTA;  5 MELHOR NOTA)]])</f>
        <v/>
      </c>
      <c r="AQ166" s="7" t="inlineStr">
        <is>
          <t>Qualificado por Rennan</t>
        </is>
      </c>
      <c r="AR166" s="64">
        <f>SUM(Tabela2[[#This Row],[Nota de Prioridade Quantitativa(NOTAS: 1 PIOR NOTA; 5 MELHOR NOTA)]],Tabela2[[#This Row],[Nota de Prioridade Qualitativa(NOTAS: 1 PIOR NOTA;  5 MELHOR NOTA)]])</f>
        <v/>
      </c>
      <c r="AS166" s="7" t="n"/>
      <c r="AZ166" s="20">
        <f t="array" ref="AZ166">StatusCarga(G166,H166,J166,K166)</f>
        <v/>
      </c>
      <c r="BA166" s="20">
        <f>IF(AZ166="CONFORME","CONFORME ✓","NÃO CONFORME ✗")</f>
        <v/>
      </c>
      <c r="BB166" t="n">
        <v>0</v>
      </c>
      <c r="BC166" t="n">
        <v>30</v>
      </c>
      <c r="BD166" t="n">
        <v>0</v>
      </c>
      <c r="BE166" t="n">
        <v>5</v>
      </c>
      <c r="BF166" t="inlineStr">
        <is>
          <t>CONFORME</t>
        </is>
      </c>
    </row>
    <row r="167" hidden="1" ht="21.75" customHeight="1" thickBot="1">
      <c r="A167" s="77" t="inlineStr">
        <is>
          <t>VGR</t>
        </is>
      </c>
      <c r="B167" s="77" t="inlineStr">
        <is>
          <t>Pico</t>
        </is>
      </c>
      <c r="C167" s="80" t="inlineStr">
        <is>
          <t>MN3501</t>
        </is>
      </c>
      <c r="D167" s="80" t="inlineStr">
        <is>
          <t>AFEX</t>
        </is>
      </c>
      <c r="E167" s="80" t="inlineStr">
        <is>
          <t>XCMG</t>
        </is>
      </c>
      <c r="F167" s="80" t="inlineStr">
        <is>
          <t>XCMG GR3505</t>
        </is>
      </c>
      <c r="G167" s="81">
        <f>IFERROR(IF(F167=$AB$2,"",VLOOKUP(F167,'DATASHEET EQUIPAMENTOS'!D:N,2,FALSE)),"")</f>
        <v/>
      </c>
      <c r="H167" s="82" t="inlineStr">
        <is>
          <t>1x60lbs</t>
        </is>
      </c>
      <c r="I167" s="57">
        <f>_xlfn.XLOOKUP(Tabela2[[#This Row],[Modelo]],'DATASHEET EQUIPAMENTOS'!D:D,'DATASHEET EQUIPAMENTOS'!P:P,"",0,1)</f>
        <v/>
      </c>
      <c r="J167" s="81">
        <f>IF(F167=$Z$2,"",VLOOKUP(F167,'DATASHEET EQUIPAMENTOS'!D:N,3,FALSE))</f>
        <v/>
      </c>
      <c r="K167" s="85" t="inlineStr">
        <is>
          <t>1x5gal</t>
        </is>
      </c>
      <c r="L167" s="95">
        <f>IF(AZ167="CONFORME","CONFORME ✓","NÃO CONFORME ✗")</f>
        <v/>
      </c>
      <c r="M167" s="102">
        <f>IF(F167=$Z$2,"",VLOOKUP(F167,'DATASHEET EQUIPAMENTOS'!D:N,4,FALSE))</f>
        <v/>
      </c>
      <c r="N167" s="108" t="n">
        <v>3</v>
      </c>
      <c r="O167" s="102">
        <f>IF(F167=$Z$2,"",VLOOKUP(F167,'DATASHEET EQUIPAMENTOS'!D:N,5,FALSE))</f>
        <v/>
      </c>
      <c r="P167" s="103" t="n">
        <v>1</v>
      </c>
      <c r="Q167" s="102">
        <f>IF(F167=$Z$2,"",VLOOKUP(F167,'DATASHEET EQUIPAMENTOS'!D:N,6,FALSE))</f>
        <v/>
      </c>
      <c r="R167" s="104" t="n">
        <v>1</v>
      </c>
      <c r="S167" s="95">
        <f>IF(Tabela2[[#This Row],[Instalado Sensor Motor]]="Linear","CONFORME ✓",IF(SUM(M167,O167,Q167)&lt;SUM(N167,P167,R167),"CONFORME ✓",IF(SUM(M167,O167,Q167)=SUM(N167,P167,R167),"CONFORME ✓","NÃO CONFORME ✗")))</f>
        <v/>
      </c>
      <c r="T167" s="91">
        <f>IF(F167=$Z$2,"",VLOOKUP(F167,'DATASHEET EQUIPAMENTOS'!D:N,7,FALSE))</f>
        <v/>
      </c>
      <c r="U167" s="57" t="n">
        <v>12</v>
      </c>
      <c r="V167" s="56">
        <f>IF(F167=$Z$2,"",VLOOKUP(F167,'DATASHEET EQUIPAMENTOS'!D:N,8,FALSE))</f>
        <v/>
      </c>
      <c r="W167" s="57" t="n">
        <v>6</v>
      </c>
      <c r="X167" s="56">
        <f>IF(F167=$Z$2,"",VLOOKUP(F167,'DATASHEET EQUIPAMENTOS'!D:N,9,FALSE))</f>
        <v/>
      </c>
      <c r="Y167" s="57" t="n">
        <v>6</v>
      </c>
      <c r="Z167" s="57">
        <f>IF(SUM(T167,V167,X167)&lt;=SUM(U167,W167,Y167),"CONFORME ✓",IF(SUM(T167,V167,X167)&gt;SUM(U167,W167,Y167),"NÃO CONFORME ✗"))</f>
        <v/>
      </c>
      <c r="AA167" s="56">
        <f>IF(F167=$Z$2,"",VLOOKUP(F167,'DATASHEET EQUIPAMENTOS'!D:N,10,FALSE))</f>
        <v/>
      </c>
      <c r="AB167" s="57" t="n">
        <v>4</v>
      </c>
      <c r="AC167" s="56">
        <f>IF(F167=$Z$2,"",VLOOKUP(F167,'DATASHEET EQUIPAMENTOS'!D:N,11,FALSE))</f>
        <v/>
      </c>
      <c r="AD167" s="57" t="n">
        <v>0</v>
      </c>
      <c r="AE167" s="56">
        <f>IF(F167=$Z$2,"",VLOOKUP(F167,'DATASHEET EQUIPAMENTOS'!D:O,12,FALSE))</f>
        <v/>
      </c>
      <c r="AF167" s="57" t="n">
        <v>0</v>
      </c>
      <c r="AG167" s="57">
        <f>IF(SUM(AA167,AC167,AE167)&lt;=SUM(AB167,AD167,AF167),"CONFORME ✓",IF(SUM(AA167,AC167,AE167)&gt;SUM(AB167,AD167,AF167),"NÃO CONFORME ✗"))</f>
        <v/>
      </c>
      <c r="AH167" s="72" t="n">
        <v>4</v>
      </c>
      <c r="AI167" s="72" t="n">
        <v>3</v>
      </c>
      <c r="AJ167" s="72" t="n">
        <v>5</v>
      </c>
      <c r="AK167" s="7" t="inlineStr">
        <is>
          <t>ADEQUAR MANGUEIRA DE DISTRIBUIÇÃO</t>
        </is>
      </c>
      <c r="AL167" s="58">
        <f>IFERROR(CALCULOS!H162,"NECESSÁRIO REVISAR DATASHEET")</f>
        <v/>
      </c>
      <c r="AM16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7" s="64">
        <f>SUM(Tabela2[[#This Row],[Nota de Prioridade Quantitativa(NOTAS: 1 PIOR NOTA; 5 MELHOR NOTA)]],Tabela2[[#This Row],[Nota de Prioridade Qualitativa(NOTAS: 1 PIOR NOTA;  5 MELHOR NOTA)]])</f>
        <v/>
      </c>
      <c r="AO167" s="7" t="n">
        <v>152295</v>
      </c>
      <c r="AP167" s="64">
        <f>SUM(Tabela2[[#This Row],[Nota de Prioridade Quantitativa(NOTAS: 1 PIOR NOTA; 5 MELHOR NOTA)]],Tabela2[[#This Row],[Nota de Prioridade Qualitativa(NOTAS: 1 PIOR NOTA;  5 MELHOR NOTA)]])</f>
        <v/>
      </c>
      <c r="AQ167" s="7" t="inlineStr">
        <is>
          <t>Qualificado por Rennan</t>
        </is>
      </c>
      <c r="AR167" s="64">
        <f>SUM(Tabela2[[#This Row],[Nota de Prioridade Quantitativa(NOTAS: 1 PIOR NOTA; 5 MELHOR NOTA)]],Tabela2[[#This Row],[Nota de Prioridade Qualitativa(NOTAS: 1 PIOR NOTA;  5 MELHOR NOTA)]])</f>
        <v/>
      </c>
      <c r="AS167" s="7" t="n"/>
      <c r="AZ167" s="20">
        <f t="array" ref="AZ167">StatusCarga(G167,H167,J167,K167)</f>
        <v/>
      </c>
      <c r="BA167" s="20">
        <f>IF(AZ167="CONFORME","CONFORME ✓","NÃO CONFORME ✗")</f>
        <v/>
      </c>
      <c r="BB167" t="n">
        <v>0</v>
      </c>
      <c r="BC167" t="n">
        <v>60</v>
      </c>
      <c r="BD167" t="n">
        <v>0</v>
      </c>
      <c r="BE167" t="n">
        <v>5</v>
      </c>
      <c r="BF167" t="inlineStr">
        <is>
          <t>CONFORME</t>
        </is>
      </c>
    </row>
    <row r="168" hidden="1" ht="21.75" customHeight="1" thickBot="1">
      <c r="A168" s="77" t="inlineStr">
        <is>
          <t>VGR</t>
        </is>
      </c>
      <c r="B168" s="77" t="inlineStr">
        <is>
          <t>Tamanduá</t>
        </is>
      </c>
      <c r="C168" s="80" t="inlineStr">
        <is>
          <t>TE4614</t>
        </is>
      </c>
      <c r="D168" s="80" t="inlineStr">
        <is>
          <t>KIDDE</t>
        </is>
      </c>
      <c r="E168" s="78" t="inlineStr">
        <is>
          <t>CATERPILLAR</t>
        </is>
      </c>
      <c r="F168" s="80" t="inlineStr">
        <is>
          <t>CAT D6T</t>
        </is>
      </c>
      <c r="G168" s="81">
        <f>IFERROR(IF(F168=$AB$2,"",VLOOKUP(F168,'DATASHEET EQUIPAMENTOS'!D:N,2,FALSE)),"")</f>
        <v/>
      </c>
      <c r="H168" s="82" t="inlineStr">
        <is>
          <t>1x50lbs</t>
        </is>
      </c>
      <c r="I168" s="57">
        <f>_xlfn.XLOOKUP(Tabela2[[#This Row],[Modelo]],'DATASHEET EQUIPAMENTOS'!D:D,'DATASHEET EQUIPAMENTOS'!P:P,"",0,1)</f>
        <v/>
      </c>
      <c r="J168" s="81">
        <f>IF(F168=$Z$2,"",VLOOKUP(F168,'DATASHEET EQUIPAMENTOS'!D:N,3,FALSE))</f>
        <v/>
      </c>
      <c r="K168" s="85" t="n">
        <v>0</v>
      </c>
      <c r="L168" s="95">
        <f>IF(AZ168="CONFORME","CONFORME ✓","NÃO CONFORME ✗")</f>
        <v/>
      </c>
      <c r="M168" s="102">
        <f>IF(F168=$Z$2,"",VLOOKUP(F168,'DATASHEET EQUIPAMENTOS'!D:N,4,FALSE))</f>
        <v/>
      </c>
      <c r="N168" s="108" t="inlineStr">
        <is>
          <t>Linear</t>
        </is>
      </c>
      <c r="O168" s="102">
        <f>IF(F168=$Z$2,"",VLOOKUP(F168,'DATASHEET EQUIPAMENTOS'!D:N,5,FALSE))</f>
        <v/>
      </c>
      <c r="P168" s="103" t="n"/>
      <c r="Q168" s="102">
        <f>IF(F168=$Z$2,"",VLOOKUP(F168,'DATASHEET EQUIPAMENTOS'!D:N,6,FALSE))</f>
        <v/>
      </c>
      <c r="R168" s="104" t="n"/>
      <c r="S168" s="95">
        <f>IF(Tabela2[[#This Row],[Instalado Sensor Motor]]="Linear","CONFORME ✓",IF(SUM(M168,O168,Q168)&lt;SUM(N168,P168,R168),"CONFORME ✓",IF(SUM(M168,O168,Q168)=SUM(N168,P168,R168),"CONFORME ✓","NÃO CONFORME ✗")))</f>
        <v/>
      </c>
      <c r="T168" s="91">
        <f>IF(F168=$Z$2,"",VLOOKUP(F168,'DATASHEET EQUIPAMENTOS'!D:N,7,FALSE))</f>
        <v/>
      </c>
      <c r="U168" s="57" t="n">
        <v>4</v>
      </c>
      <c r="V168" s="56">
        <f>IF(F168=$Z$2,"",VLOOKUP(F168,'DATASHEET EQUIPAMENTOS'!D:N,8,FALSE))</f>
        <v/>
      </c>
      <c r="W168" s="57" t="n">
        <v>0</v>
      </c>
      <c r="X168" s="56">
        <f>IF(F168=$Z$2,"",VLOOKUP(F168,'DATASHEET EQUIPAMENTOS'!D:N,9,FALSE))</f>
        <v/>
      </c>
      <c r="Y168" s="57" t="n">
        <v>0</v>
      </c>
      <c r="Z168" s="57">
        <f>IF(SUM(T168,V168,X168)&lt;=SUM(U168,W168,Y168),"CONFORME ✓",IF(SUM(T168,V168,X168)&gt;SUM(U168,W168,Y168),"NÃO CONFORME ✗"))</f>
        <v/>
      </c>
      <c r="AA168" s="56">
        <f>IF(F168=$Z$2,"",VLOOKUP(F168,'DATASHEET EQUIPAMENTOS'!D:N,10,FALSE))</f>
        <v/>
      </c>
      <c r="AB168" s="57" t="n"/>
      <c r="AC168" s="56">
        <f>IF(F168=$Z$2,"",VLOOKUP(F168,'DATASHEET EQUIPAMENTOS'!D:N,11,FALSE))</f>
        <v/>
      </c>
      <c r="AD168" s="57" t="n"/>
      <c r="AE168" s="56">
        <f>IF(F168=$Z$2,"",VLOOKUP(F168,'DATASHEET EQUIPAMENTOS'!D:O,12,FALSE))</f>
        <v/>
      </c>
      <c r="AF168" s="57" t="n"/>
      <c r="AG168" s="57">
        <f>IF(SUM(AA168,AC168,AE168)&lt;=SUM(AB168,AD168,AF168),"CONFORME ✓",IF(SUM(AA168,AC168,AE168)&gt;SUM(AB168,AD168,AF168),"NÃO CONFORME ✗"))</f>
        <v/>
      </c>
      <c r="AH168" s="72" t="n">
        <v>2.5</v>
      </c>
      <c r="AI168" s="72" t="n">
        <v>4</v>
      </c>
      <c r="AJ168" s="72" t="n">
        <v>5</v>
      </c>
      <c r="AK168" s="7" t="inlineStr">
        <is>
          <t>O EQUIPAMENTO NAO POSSUI O CILINDRO DE AGENTE LÍQUIDO, ACRESCENTAR QUANTIDADE DE 2 BICOS MINÍMO, FAZER NOVO LAYOUT DO CABO SENSOR COM FIXAÇÕES ADEQUADAS</t>
        </is>
      </c>
      <c r="AL168" s="58">
        <f>IFERROR(CALCULOS!H163,"NECESSÁRIO REVISAR DATASHEET")</f>
        <v/>
      </c>
      <c r="AM16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8" s="64">
        <f>SUM(Tabela2[[#This Row],[Nota de Prioridade Quantitativa(NOTAS: 1 PIOR NOTA; 5 MELHOR NOTA)]],Tabela2[[#This Row],[Nota de Prioridade Qualitativa(NOTAS: 1 PIOR NOTA;  5 MELHOR NOTA)]])</f>
        <v/>
      </c>
      <c r="AO168" s="7" t="n">
        <v>151772</v>
      </c>
      <c r="AP168" s="64">
        <f>SUM(Tabela2[[#This Row],[Nota de Prioridade Quantitativa(NOTAS: 1 PIOR NOTA; 5 MELHOR NOTA)]],Tabela2[[#This Row],[Nota de Prioridade Qualitativa(NOTAS: 1 PIOR NOTA;  5 MELHOR NOTA)]])</f>
        <v/>
      </c>
      <c r="AQ168" s="7" t="n"/>
      <c r="AR168" s="64">
        <f>SUM(Tabela2[[#This Row],[Nota de Prioridade Quantitativa(NOTAS: 1 PIOR NOTA; 5 MELHOR NOTA)]],Tabela2[[#This Row],[Nota de Prioridade Qualitativa(NOTAS: 1 PIOR NOTA;  5 MELHOR NOTA)]])</f>
        <v/>
      </c>
      <c r="AS168" s="7" t="n"/>
      <c r="AZ168" s="20">
        <f t="array" ref="AZ168">StatusCarga(G168,H168,J168,K168)</f>
        <v/>
      </c>
      <c r="BA168" s="20">
        <f>IF(AZ168="CONFORME","CONFORME ✓","NÃO CONFORME ✗")</f>
        <v/>
      </c>
      <c r="BB168" t="n">
        <v>0</v>
      </c>
      <c r="BC168" t="n">
        <v>50</v>
      </c>
      <c r="BD168" t="n">
        <v>0</v>
      </c>
      <c r="BE168" t="n">
        <v>0</v>
      </c>
      <c r="BF168" t="inlineStr">
        <is>
          <t>CONFORME</t>
        </is>
      </c>
    </row>
    <row r="169" hidden="1" ht="21.75" customHeight="1" thickBot="1">
      <c r="A169" s="77" t="inlineStr">
        <is>
          <t>Paraoupeba</t>
        </is>
      </c>
      <c r="B169" s="77" t="inlineStr">
        <is>
          <t>Fábrica</t>
        </is>
      </c>
      <c r="C169" s="80" t="inlineStr">
        <is>
          <t>TP4712</t>
        </is>
      </c>
      <c r="D169" s="80" t="inlineStr">
        <is>
          <t>AFEX</t>
        </is>
      </c>
      <c r="E169" s="78" t="inlineStr">
        <is>
          <t>CATERPILLAR</t>
        </is>
      </c>
      <c r="F169" s="80" t="inlineStr">
        <is>
          <t>cat 824H</t>
        </is>
      </c>
      <c r="G169" s="81">
        <f>IFERROR(IF(F169=$AB$2,"",VLOOKUP(F169,'DATASHEET EQUIPAMENTOS'!D:N,2,FALSE)),"")</f>
        <v/>
      </c>
      <c r="H169" s="82" t="inlineStr">
        <is>
          <t>1x60lbs</t>
        </is>
      </c>
      <c r="I169" s="57">
        <f>_xlfn.XLOOKUP(Tabela2[[#This Row],[Modelo]],'DATASHEET EQUIPAMENTOS'!D:D,'DATASHEET EQUIPAMENTOS'!P:P,"",0,1)</f>
        <v/>
      </c>
      <c r="J169" s="81">
        <f>IF(F169=$Z$2,"",VLOOKUP(F169,'DATASHEET EQUIPAMENTOS'!D:N,3,FALSE))</f>
        <v/>
      </c>
      <c r="K169" s="85" t="n">
        <v>0</v>
      </c>
      <c r="L169" s="95">
        <f>IF(AZ169="CONFORME","CONFORME ✓","NÃO CONFORME ✗")</f>
        <v/>
      </c>
      <c r="M169" s="102">
        <f>IF(F169=$Z$2,"",VLOOKUP(F169,'DATASHEET EQUIPAMENTOS'!D:N,4,FALSE))</f>
        <v/>
      </c>
      <c r="N169" s="108" t="n">
        <v>4</v>
      </c>
      <c r="O169" s="102">
        <f>IF(F169=$Z$2,"",VLOOKUP(F169,'DATASHEET EQUIPAMENTOS'!D:N,5,FALSE))</f>
        <v/>
      </c>
      <c r="P169" s="103" t="n"/>
      <c r="Q169" s="102">
        <f>IF(F169=$Z$2,"",VLOOKUP(F169,'DATASHEET EQUIPAMENTOS'!D:N,6,FALSE))</f>
        <v/>
      </c>
      <c r="R169" s="104" t="n"/>
      <c r="S169" s="95">
        <f>IF(Tabela2[[#This Row],[Instalado Sensor Motor]]="Linear","CONFORME ✓",IF(SUM(M169,O169,Q169)&lt;SUM(N169,P169,R169),"CONFORME ✓",IF(SUM(M169,O169,Q169)=SUM(N169,P169,R169),"CONFORME ✓","NÃO CONFORME ✗")))</f>
        <v/>
      </c>
      <c r="T169" s="91">
        <f>IF(F169=$Z$2,"",VLOOKUP(F169,'DATASHEET EQUIPAMENTOS'!D:N,7,FALSE))</f>
        <v/>
      </c>
      <c r="U169" s="57" t="n">
        <v>12</v>
      </c>
      <c r="V169" s="56">
        <f>IF(F169=$Z$2,"",VLOOKUP(F169,'DATASHEET EQUIPAMENTOS'!D:N,8,FALSE))</f>
        <v/>
      </c>
      <c r="W169" s="57" t="n"/>
      <c r="X169" s="56">
        <f>IF(F169=$Z$2,"",VLOOKUP(F169,'DATASHEET EQUIPAMENTOS'!D:N,9,FALSE))</f>
        <v/>
      </c>
      <c r="Y169" s="57" t="n"/>
      <c r="Z169" s="57">
        <f>IF(SUM(T169,V169,X169)&lt;=SUM(U169,W169,Y169),"CONFORME ✓",IF(SUM(T169,V169,X169)&gt;SUM(U169,W169,Y169),"NÃO CONFORME ✗"))</f>
        <v/>
      </c>
      <c r="AA169" s="56">
        <f>IF(F169=$Z$2,"",VLOOKUP(F169,'DATASHEET EQUIPAMENTOS'!D:N,10,FALSE))</f>
        <v/>
      </c>
      <c r="AB169" s="57" t="n"/>
      <c r="AC169" s="56">
        <f>IF(F169=$Z$2,"",VLOOKUP(F169,'DATASHEET EQUIPAMENTOS'!D:N,11,FALSE))</f>
        <v/>
      </c>
      <c r="AD169" s="57" t="n"/>
      <c r="AE169" s="56">
        <f>IF(F169=$Z$2,"",VLOOKUP(F169,'DATASHEET EQUIPAMENTOS'!D:O,12,FALSE))</f>
        <v/>
      </c>
      <c r="AF169" s="57" t="n"/>
      <c r="AG169" s="57">
        <f>IF(SUM(AA169,AC169,AE169)&lt;=SUM(AB169,AD169,AF169),"CONFORME ✓",IF(SUM(AA169,AC169,AE169)&gt;SUM(AB169,AD169,AF169),"NÃO CONFORME ✗"))</f>
        <v/>
      </c>
      <c r="AH169" s="72" t="n">
        <v>3</v>
      </c>
      <c r="AI169" s="72" t="n">
        <v>2</v>
      </c>
      <c r="AJ169" s="72" t="n">
        <v>5</v>
      </c>
      <c r="AK169" s="7" t="inlineStr">
        <is>
          <t>ADEQUAR QUANTIDADE DE SENSORES E BICOS PQS NAS BOMBAS E TRANSMISSÃO; AVALIAR POSICIONAMENTO DO PAINEL E ACIONADOR DA CABINE E REPOSICIONAR SE NECESSÁRIO</t>
        </is>
      </c>
      <c r="AL169" s="58">
        <f>IFERROR(CALCULOS!H164,"NECESSÁRIO REVISAR DATASHEET")</f>
        <v/>
      </c>
      <c r="AM16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69" s="64">
        <f>SUM(Tabela2[[#This Row],[Nota de Prioridade Quantitativa(NOTAS: 1 PIOR NOTA; 5 MELHOR NOTA)]],Tabela2[[#This Row],[Nota de Prioridade Qualitativa(NOTAS: 1 PIOR NOTA;  5 MELHOR NOTA)]])</f>
        <v/>
      </c>
      <c r="AO169" s="7" t="n">
        <v>150204</v>
      </c>
      <c r="AP169" s="64">
        <f>SUM(Tabela2[[#This Row],[Nota de Prioridade Quantitativa(NOTAS: 1 PIOR NOTA; 5 MELHOR NOTA)]],Tabela2[[#This Row],[Nota de Prioridade Qualitativa(NOTAS: 1 PIOR NOTA;  5 MELHOR NOTA)]])</f>
        <v/>
      </c>
      <c r="AQ169" s="7" t="n"/>
      <c r="AR169" s="64">
        <f>SUM(Tabela2[[#This Row],[Nota de Prioridade Quantitativa(NOTAS: 1 PIOR NOTA; 5 MELHOR NOTA)]],Tabela2[[#This Row],[Nota de Prioridade Qualitativa(NOTAS: 1 PIOR NOTA;  5 MELHOR NOTA)]])</f>
        <v/>
      </c>
      <c r="AS169" s="7" t="n"/>
      <c r="AZ169" s="20">
        <f t="array" ref="AZ169">StatusCarga(G169,H169,J169,K169)</f>
        <v/>
      </c>
      <c r="BA169" s="20">
        <f>IF(AZ169="CONFORME","CONFORME ✓","NÃO CONFORME ✗")</f>
        <v/>
      </c>
      <c r="BB169" t="n">
        <v>0</v>
      </c>
      <c r="BC169" t="n">
        <v>60</v>
      </c>
      <c r="BD169" t="n">
        <v>0</v>
      </c>
      <c r="BE169" t="n">
        <v>0</v>
      </c>
      <c r="BF169" t="inlineStr">
        <is>
          <t>CONFORME</t>
        </is>
      </c>
    </row>
    <row r="170" hidden="1" ht="21.75" customHeight="1" thickBot="1">
      <c r="A170" s="77" t="inlineStr">
        <is>
          <t>Paraoupeba</t>
        </is>
      </c>
      <c r="B170" s="77" t="inlineStr">
        <is>
          <t>Fábrica</t>
        </is>
      </c>
      <c r="C170" s="80" t="inlineStr">
        <is>
          <t>TP4716</t>
        </is>
      </c>
      <c r="D170" s="80" t="inlineStr">
        <is>
          <t>AFEX</t>
        </is>
      </c>
      <c r="E170" s="78" t="inlineStr">
        <is>
          <t>CATERPILLAR</t>
        </is>
      </c>
      <c r="F170" s="80" t="inlineStr">
        <is>
          <t>cat 824H</t>
        </is>
      </c>
      <c r="G170" s="81">
        <f>IFERROR(IF(F170=$AB$2,"",VLOOKUP(F170,'DATASHEET EQUIPAMENTOS'!D:N,2,FALSE)),"")</f>
        <v/>
      </c>
      <c r="H170" s="82" t="inlineStr">
        <is>
          <t>1x60lbs</t>
        </is>
      </c>
      <c r="I170" s="57">
        <f>_xlfn.XLOOKUP(Tabela2[[#This Row],[Modelo]],'DATASHEET EQUIPAMENTOS'!D:D,'DATASHEET EQUIPAMENTOS'!P:P,"",0,1)</f>
        <v/>
      </c>
      <c r="J170" s="81">
        <f>IF(F170=$Z$2,"",VLOOKUP(F170,'DATASHEET EQUIPAMENTOS'!D:N,3,FALSE))</f>
        <v/>
      </c>
      <c r="K170" s="85" t="n">
        <v>0</v>
      </c>
      <c r="L170" s="95">
        <f>IF(AZ170="CONFORME","CONFORME ✓","NÃO CONFORME ✗")</f>
        <v/>
      </c>
      <c r="M170" s="102">
        <f>IF(F170=$Z$2,"",VLOOKUP(F170,'DATASHEET EQUIPAMENTOS'!D:N,4,FALSE))</f>
        <v/>
      </c>
      <c r="N170" s="108" t="n">
        <v>4</v>
      </c>
      <c r="O170" s="102">
        <f>IF(F170=$Z$2,"",VLOOKUP(F170,'DATASHEET EQUIPAMENTOS'!D:N,5,FALSE))</f>
        <v/>
      </c>
      <c r="P170" s="103" t="n"/>
      <c r="Q170" s="102">
        <f>IF(F170=$Z$2,"",VLOOKUP(F170,'DATASHEET EQUIPAMENTOS'!D:N,6,FALSE))</f>
        <v/>
      </c>
      <c r="R170" s="104" t="n"/>
      <c r="S170" s="95">
        <f>IF(Tabela2[[#This Row],[Instalado Sensor Motor]]="Linear","CONFORME ✓",IF(SUM(M170,O170,Q170)&lt;SUM(N170,P170,R170),"CONFORME ✓",IF(SUM(M170,O170,Q170)=SUM(N170,P170,R170),"CONFORME ✓","NÃO CONFORME ✗")))</f>
        <v/>
      </c>
      <c r="T170" s="91">
        <f>IF(F170=$Z$2,"",VLOOKUP(F170,'DATASHEET EQUIPAMENTOS'!D:N,7,FALSE))</f>
        <v/>
      </c>
      <c r="U170" s="57" t="n">
        <v>12</v>
      </c>
      <c r="V170" s="56">
        <f>IF(F170=$Z$2,"",VLOOKUP(F170,'DATASHEET EQUIPAMENTOS'!D:N,8,FALSE))</f>
        <v/>
      </c>
      <c r="W170" s="57" t="n"/>
      <c r="X170" s="56">
        <f>IF(F170=$Z$2,"",VLOOKUP(F170,'DATASHEET EQUIPAMENTOS'!D:N,9,FALSE))</f>
        <v/>
      </c>
      <c r="Y170" s="57" t="n"/>
      <c r="Z170" s="57">
        <f>IF(SUM(T170,V170,X170)&lt;=SUM(U170,W170,Y170),"CONFORME ✓",IF(SUM(T170,V170,X170)&gt;SUM(U170,W170,Y170),"NÃO CONFORME ✗"))</f>
        <v/>
      </c>
      <c r="AA170" s="56">
        <f>IF(F170=$Z$2,"",VLOOKUP(F170,'DATASHEET EQUIPAMENTOS'!D:N,10,FALSE))</f>
        <v/>
      </c>
      <c r="AB170" s="57" t="n"/>
      <c r="AC170" s="56">
        <f>IF(F170=$Z$2,"",VLOOKUP(F170,'DATASHEET EQUIPAMENTOS'!D:N,11,FALSE))</f>
        <v/>
      </c>
      <c r="AD170" s="57" t="n"/>
      <c r="AE170" s="56">
        <f>IF(F170=$Z$2,"",VLOOKUP(F170,'DATASHEET EQUIPAMENTOS'!D:O,12,FALSE))</f>
        <v/>
      </c>
      <c r="AF170" s="57" t="n"/>
      <c r="AG170" s="57">
        <f>IF(SUM(AA170,AC170,AE170)&lt;=SUM(AB170,AD170,AF170),"CONFORME ✓",IF(SUM(AA170,AC170,AE170)&gt;SUM(AB170,AD170,AF170),"NÃO CONFORME ✗"))</f>
        <v/>
      </c>
      <c r="AH170" s="72" t="n">
        <v>3</v>
      </c>
      <c r="AI170" s="72" t="n">
        <v>2</v>
      </c>
      <c r="AJ170" s="72" t="n">
        <v>5</v>
      </c>
      <c r="AK170" s="7" t="inlineStr">
        <is>
          <t>ADEQUAR QUANTIDADE DE SENSORES E BICOS PQS NAS BOMBAS E TRANSMISSÃO; AVALIAR POSICIONAMENTO DO PAINEL E ACIONADOR DA CABINE E REPOSICIONAR SE NECESSÁRIO</t>
        </is>
      </c>
      <c r="AL170" s="58">
        <f>IFERROR(CALCULOS!H165,"NECESSÁRIO REVISAR DATASHEET")</f>
        <v/>
      </c>
      <c r="AM17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0" s="64">
        <f>SUM(Tabela2[[#This Row],[Nota de Prioridade Quantitativa(NOTAS: 1 PIOR NOTA; 5 MELHOR NOTA)]],Tabela2[[#This Row],[Nota de Prioridade Qualitativa(NOTAS: 1 PIOR NOTA;  5 MELHOR NOTA)]])</f>
        <v/>
      </c>
      <c r="AO170" s="7" t="n">
        <v>149157</v>
      </c>
      <c r="AP170" s="64">
        <f>SUM(Tabela2[[#This Row],[Nota de Prioridade Quantitativa(NOTAS: 1 PIOR NOTA; 5 MELHOR NOTA)]],Tabela2[[#This Row],[Nota de Prioridade Qualitativa(NOTAS: 1 PIOR NOTA;  5 MELHOR NOTA)]])</f>
        <v/>
      </c>
      <c r="AQ170" s="7" t="n"/>
      <c r="AR170" s="64">
        <f>SUM(Tabela2[[#This Row],[Nota de Prioridade Quantitativa(NOTAS: 1 PIOR NOTA; 5 MELHOR NOTA)]],Tabela2[[#This Row],[Nota de Prioridade Qualitativa(NOTAS: 1 PIOR NOTA;  5 MELHOR NOTA)]])</f>
        <v/>
      </c>
      <c r="AS170" s="7" t="n"/>
      <c r="AZ170" s="20">
        <f t="array" ref="AZ170">StatusCarga(G170,H170,J170,K170)</f>
        <v/>
      </c>
      <c r="BA170" s="20">
        <f>IF(AZ170="CONFORME","CONFORME ✓","NÃO CONFORME ✗")</f>
        <v/>
      </c>
      <c r="BB170" t="n">
        <v>0</v>
      </c>
      <c r="BC170" t="n">
        <v>60</v>
      </c>
      <c r="BD170" t="n">
        <v>0</v>
      </c>
      <c r="BE170" t="n">
        <v>0</v>
      </c>
      <c r="BF170" t="inlineStr">
        <is>
          <t>CONFORME</t>
        </is>
      </c>
    </row>
    <row r="171" hidden="1" ht="21.75" customHeight="1" thickBot="1">
      <c r="A171" s="77" t="inlineStr">
        <is>
          <t>VGR</t>
        </is>
      </c>
      <c r="B171" s="77" t="inlineStr">
        <is>
          <t>Pico</t>
        </is>
      </c>
      <c r="C171" s="80" t="inlineStr">
        <is>
          <t>CA5411</t>
        </is>
      </c>
      <c r="D171" s="80" t="inlineStr">
        <is>
          <t>AFEX</t>
        </is>
      </c>
      <c r="E171" s="78" t="inlineStr">
        <is>
          <t>CATERPILLAR</t>
        </is>
      </c>
      <c r="F171" s="80" t="inlineStr">
        <is>
          <t>cat 785C</t>
        </is>
      </c>
      <c r="G171" s="81">
        <f>IFERROR(IF(F171=$AB$2,"",VLOOKUP(F171,'DATASHEET EQUIPAMENTOS'!D:N,2,FALSE)),"")</f>
        <v/>
      </c>
      <c r="H171" s="82" t="inlineStr">
        <is>
          <t>3x30lbs</t>
        </is>
      </c>
      <c r="I171" s="57">
        <f>_xlfn.XLOOKUP(Tabela2[[#This Row],[Modelo]],'DATASHEET EQUIPAMENTOS'!D:D,'DATASHEET EQUIPAMENTOS'!P:P,"",0,1)</f>
        <v/>
      </c>
      <c r="J171" s="81">
        <f>IF(F171=$Z$2,"",VLOOKUP(F171,'DATASHEET EQUIPAMENTOS'!D:N,3,FALSE))</f>
        <v/>
      </c>
      <c r="K171" s="85" t="n">
        <v>0</v>
      </c>
      <c r="L171" s="95">
        <f>IF(AZ171="CONFORME","CONFORME ✓","NÃO CONFORME ✗")</f>
        <v/>
      </c>
      <c r="M171" s="102">
        <f>IF(F171=$Z$2,"",VLOOKUP(F171,'DATASHEET EQUIPAMENTOS'!D:N,4,FALSE))</f>
        <v/>
      </c>
      <c r="N171" s="108" t="n">
        <v>4</v>
      </c>
      <c r="O171" s="102">
        <f>IF(F171=$Z$2,"",VLOOKUP(F171,'DATASHEET EQUIPAMENTOS'!D:N,5,FALSE))</f>
        <v/>
      </c>
      <c r="P171" s="103" t="n">
        <v>0</v>
      </c>
      <c r="Q171" s="102">
        <f>IF(F171=$Z$2,"",VLOOKUP(F171,'DATASHEET EQUIPAMENTOS'!D:N,6,FALSE))</f>
        <v/>
      </c>
      <c r="R171" s="104" t="n">
        <v>0</v>
      </c>
      <c r="S171" s="95">
        <f>IF(Tabela2[[#This Row],[Instalado Sensor Motor]]="Linear","CONFORME ✓",IF(SUM(M171,O171,Q171)&lt;SUM(N171,P171,R171),"CONFORME ✓",IF(SUM(M171,O171,Q171)=SUM(N171,P171,R171),"CONFORME ✓","NÃO CONFORME ✗")))</f>
        <v/>
      </c>
      <c r="T171" s="91">
        <f>IF(F171=$Z$2,"",VLOOKUP(F171,'DATASHEET EQUIPAMENTOS'!D:N,7,FALSE))</f>
        <v/>
      </c>
      <c r="U171" s="57" t="n">
        <v>12</v>
      </c>
      <c r="V171" s="56">
        <f>IF(F171=$Z$2,"",VLOOKUP(F171,'DATASHEET EQUIPAMENTOS'!D:N,8,FALSE))</f>
        <v/>
      </c>
      <c r="W171" s="57" t="n">
        <v>0</v>
      </c>
      <c r="X171" s="56">
        <f>IF(F171=$Z$2,"",VLOOKUP(F171,'DATASHEET EQUIPAMENTOS'!D:N,9,FALSE))</f>
        <v/>
      </c>
      <c r="Y171" s="57" t="n">
        <v>0</v>
      </c>
      <c r="Z171" s="57">
        <f>IF(SUM(T171,V171,X171)&lt;=SUM(U171,W171,Y171),"CONFORME ✓",IF(SUM(T171,V171,X171)&gt;SUM(U171,W171,Y171),"NÃO CONFORME ✗"))</f>
        <v/>
      </c>
      <c r="AA171" s="56">
        <f>IF(F171=$Z$2,"",VLOOKUP(F171,'DATASHEET EQUIPAMENTOS'!D:N,10,FALSE))</f>
        <v/>
      </c>
      <c r="AB171" s="57" t="n">
        <v>0</v>
      </c>
      <c r="AC171" s="56">
        <f>IF(F171=$Z$2,"",VLOOKUP(F171,'DATASHEET EQUIPAMENTOS'!D:N,11,FALSE))</f>
        <v/>
      </c>
      <c r="AD171" s="57" t="n">
        <v>0</v>
      </c>
      <c r="AE171" s="56">
        <f>IF(F171=$Z$2,"",VLOOKUP(F171,'DATASHEET EQUIPAMENTOS'!D:O,12,FALSE))</f>
        <v/>
      </c>
      <c r="AF171" s="57" t="n">
        <v>0</v>
      </c>
      <c r="AG171" s="57">
        <f>IF(SUM(AA171,AC171,AE171)&lt;=SUM(AB171,AD171,AF171),"CONFORME ✓",IF(SUM(AA171,AC171,AE171)&gt;SUM(AB171,AD171,AF171),"NÃO CONFORME ✗"))</f>
        <v/>
      </c>
      <c r="AH171" s="72" t="n">
        <v>3</v>
      </c>
      <c r="AI171" s="72" t="n">
        <v>3</v>
      </c>
      <c r="AJ171" s="72" t="n">
        <v>3</v>
      </c>
      <c r="AK171" s="7" t="inlineStr">
        <is>
          <t xml:space="preserve">REFAZER O RELATÓRIO, DADOS INCOMPLETOS </t>
        </is>
      </c>
      <c r="AL171" s="58">
        <f>IFERROR(CALCULOS!H166,"NECESSÁRIO REVISAR DATASHEET")</f>
        <v/>
      </c>
      <c r="AM17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1" s="64">
        <f>SUM(Tabela2[[#This Row],[Nota de Prioridade Quantitativa(NOTAS: 1 PIOR NOTA; 5 MELHOR NOTA)]],Tabela2[[#This Row],[Nota de Prioridade Qualitativa(NOTAS: 1 PIOR NOTA;  5 MELHOR NOTA)]])</f>
        <v/>
      </c>
      <c r="AO171" s="7" t="n">
        <v>152288</v>
      </c>
      <c r="AP171" s="64">
        <f>SUM(Tabela2[[#This Row],[Nota de Prioridade Quantitativa(NOTAS: 1 PIOR NOTA; 5 MELHOR NOTA)]],Tabela2[[#This Row],[Nota de Prioridade Qualitativa(NOTAS: 1 PIOR NOTA;  5 MELHOR NOTA)]])</f>
        <v/>
      </c>
      <c r="AQ171" s="7" t="inlineStr">
        <is>
          <t>Qualificado por Rennan</t>
        </is>
      </c>
      <c r="AR171" s="64">
        <f>SUM(Tabela2[[#This Row],[Nota de Prioridade Quantitativa(NOTAS: 1 PIOR NOTA; 5 MELHOR NOTA)]],Tabela2[[#This Row],[Nota de Prioridade Qualitativa(NOTAS: 1 PIOR NOTA;  5 MELHOR NOTA)]])</f>
        <v/>
      </c>
      <c r="AS171" s="7" t="inlineStr">
        <is>
          <t xml:space="preserve">REFAZER O RELATÓRIO, DADOS INCOMPLETOS </t>
        </is>
      </c>
      <c r="AZ171" s="20">
        <f t="array" ref="AZ171">StatusCarga(G171,H171,J171,K171)</f>
        <v/>
      </c>
      <c r="BA171" s="20">
        <f>IF(AZ171="CONFORME","CONFORME ✓","NÃO CONFORME ✗")</f>
        <v/>
      </c>
      <c r="BB171" t="n">
        <v>0</v>
      </c>
      <c r="BC171" t="n">
        <v>90</v>
      </c>
      <c r="BD171" t="n">
        <v>0</v>
      </c>
      <c r="BE171" t="n">
        <v>0</v>
      </c>
      <c r="BF171" t="inlineStr">
        <is>
          <t>CONFORME</t>
        </is>
      </c>
    </row>
    <row r="172" hidden="1" ht="21.75" customHeight="1" thickBot="1">
      <c r="A172" s="77" t="inlineStr">
        <is>
          <t>Mariana</t>
        </is>
      </c>
      <c r="B172" s="77" t="inlineStr">
        <is>
          <t>Fazendão</t>
        </is>
      </c>
      <c r="C172" s="80" t="inlineStr">
        <is>
          <t>PM6704</t>
        </is>
      </c>
      <c r="D172" s="80" t="inlineStr">
        <is>
          <t>AFEX</t>
        </is>
      </c>
      <c r="E172" s="80" t="inlineStr">
        <is>
          <t>XCMG</t>
        </is>
      </c>
      <c r="F172" s="80" t="inlineStr">
        <is>
          <t>XCMG LW1200</t>
        </is>
      </c>
      <c r="G172" s="81">
        <f>IFERROR(IF(F172=$AB$2,"",VLOOKUP(F172,'DATASHEET EQUIPAMENTOS'!D:N,2,FALSE)),"")</f>
        <v/>
      </c>
      <c r="H172" s="82" t="inlineStr">
        <is>
          <t>3x30lbs</t>
        </is>
      </c>
      <c r="I172" s="57">
        <f>_xlfn.XLOOKUP(Tabela2[[#This Row],[Modelo]],'DATASHEET EQUIPAMENTOS'!D:D,'DATASHEET EQUIPAMENTOS'!P:P,"",0,1)</f>
        <v/>
      </c>
      <c r="J172" s="81">
        <f>IF(F172=$Z$2,"",VLOOKUP(F172,'DATASHEET EQUIPAMENTOS'!D:N,3,FALSE))</f>
        <v/>
      </c>
      <c r="K172" s="85" t="inlineStr">
        <is>
          <t>1x5gal</t>
        </is>
      </c>
      <c r="L172" s="95">
        <f>IF(AZ172="CONFORME","CONFORME ✓","NÃO CONFORME ✗")</f>
        <v/>
      </c>
      <c r="M172" s="102">
        <f>IF(F172=$Z$2,"",VLOOKUP(F172,'DATASHEET EQUIPAMENTOS'!D:N,4,FALSE))</f>
        <v/>
      </c>
      <c r="N172" s="108" t="n">
        <v>2</v>
      </c>
      <c r="O172" s="102">
        <f>IF(F172=$Z$2,"",VLOOKUP(F172,'DATASHEET EQUIPAMENTOS'!D:N,5,FALSE))</f>
        <v/>
      </c>
      <c r="P172" s="103" t="n">
        <v>2</v>
      </c>
      <c r="Q172" s="102">
        <f>IF(F172=$Z$2,"",VLOOKUP(F172,'DATASHEET EQUIPAMENTOS'!D:N,6,FALSE))</f>
        <v/>
      </c>
      <c r="R172" s="104" t="n">
        <v>2</v>
      </c>
      <c r="S172" s="95">
        <f>IF(Tabela2[[#This Row],[Instalado Sensor Motor]]="Linear","CONFORME ✓",IF(SUM(M172,O172,Q172)&lt;SUM(N172,P172,R172),"CONFORME ✓",IF(SUM(M172,O172,Q172)=SUM(N172,P172,R172),"CONFORME ✓","NÃO CONFORME ✗")))</f>
        <v/>
      </c>
      <c r="T172" s="91">
        <f>IF(F172=$Z$2,"",VLOOKUP(F172,'DATASHEET EQUIPAMENTOS'!D:N,7,FALSE))</f>
        <v/>
      </c>
      <c r="U172" s="57" t="n">
        <v>6</v>
      </c>
      <c r="V172" s="56">
        <f>IF(F172=$Z$2,"",VLOOKUP(F172,'DATASHEET EQUIPAMENTOS'!D:N,8,FALSE))</f>
        <v/>
      </c>
      <c r="W172" s="57" t="n">
        <v>6</v>
      </c>
      <c r="X172" s="56">
        <f>IF(F172=$Z$2,"",VLOOKUP(F172,'DATASHEET EQUIPAMENTOS'!D:N,9,FALSE))</f>
        <v/>
      </c>
      <c r="Y172" s="57" t="n">
        <v>2</v>
      </c>
      <c r="Z172" s="57">
        <f>IF(SUM(T172,V172,X172)&lt;=SUM(U172,W172,Y172),"CONFORME ✓",IF(SUM(T172,V172,X172)&gt;SUM(U172,W172,Y172),"NÃO CONFORME ✗"))</f>
        <v/>
      </c>
      <c r="AA172" s="56">
        <f>IF(F172=$Z$2,"",VLOOKUP(F172,'DATASHEET EQUIPAMENTOS'!D:N,10,FALSE))</f>
        <v/>
      </c>
      <c r="AB172" s="57" t="n">
        <v>4</v>
      </c>
      <c r="AC172" s="56">
        <f>IF(F172=$Z$2,"",VLOOKUP(F172,'DATASHEET EQUIPAMENTOS'!D:N,11,FALSE))</f>
        <v/>
      </c>
      <c r="AD172" s="57" t="n"/>
      <c r="AE172" s="56">
        <f>IF(F172=$Z$2,"",VLOOKUP(F172,'DATASHEET EQUIPAMENTOS'!D:O,12,FALSE))</f>
        <v/>
      </c>
      <c r="AF172" s="57" t="n"/>
      <c r="AG172" s="57">
        <f>IF(SUM(AA172,AC172,AE172)&lt;=SUM(AB172,AD172,AF172),"CONFORME ✓",IF(SUM(AA172,AC172,AE172)&gt;SUM(AB172,AD172,AF172),"NÃO CONFORME ✗"))</f>
        <v/>
      </c>
      <c r="AH172" s="72" t="n"/>
      <c r="AI172" s="72" t="n"/>
      <c r="AJ172" s="72" t="n"/>
      <c r="AK172" s="7" t="inlineStr">
        <is>
          <t>EQUIPAMENTO POSSUÍ UMA TUBULAÇÕES PRÓXIMO AO RADIADOR</t>
        </is>
      </c>
      <c r="AL172" s="58">
        <f>IFERROR(CALCULOS!H167,"NECESSÁRIO REVISAR DATASHEET")</f>
        <v/>
      </c>
      <c r="AM17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2" s="64">
        <f>SUM(Tabela2[[#This Row],[Nota de Prioridade Quantitativa(NOTAS: 1 PIOR NOTA; 5 MELHOR NOTA)]],Tabela2[[#This Row],[Nota de Prioridade Qualitativa(NOTAS: 1 PIOR NOTA;  5 MELHOR NOTA)]])</f>
        <v/>
      </c>
      <c r="AO172" s="7" t="n">
        <v>149659</v>
      </c>
      <c r="AP172" s="64">
        <f>SUM(Tabela2[[#This Row],[Nota de Prioridade Quantitativa(NOTAS: 1 PIOR NOTA; 5 MELHOR NOTA)]],Tabela2[[#This Row],[Nota de Prioridade Qualitativa(NOTAS: 1 PIOR NOTA;  5 MELHOR NOTA)]])</f>
        <v/>
      </c>
      <c r="AQ172" s="7" t="n"/>
      <c r="AR172" s="64">
        <f>SUM(Tabela2[[#This Row],[Nota de Prioridade Quantitativa(NOTAS: 1 PIOR NOTA; 5 MELHOR NOTA)]],Tabela2[[#This Row],[Nota de Prioridade Qualitativa(NOTAS: 1 PIOR NOTA;  5 MELHOR NOTA)]])</f>
        <v/>
      </c>
      <c r="AS172" s="7" t="n"/>
      <c r="AZ172" s="20">
        <f t="array" ref="AZ172">StatusCarga(G172,H172,J172,K172)</f>
        <v/>
      </c>
      <c r="BA172" s="20">
        <f>IF(AZ172="CONFORME","CONFORME ✓","NÃO CONFORME ✗")</f>
        <v/>
      </c>
      <c r="BB172" t="n">
        <v>0</v>
      </c>
      <c r="BC172" t="n">
        <v>90</v>
      </c>
      <c r="BD172" t="n">
        <v>0</v>
      </c>
      <c r="BE172" t="n">
        <v>5</v>
      </c>
      <c r="BF172" t="inlineStr">
        <is>
          <t>CONFORME</t>
        </is>
      </c>
    </row>
    <row r="173" hidden="1" ht="21.75" customHeight="1" thickBot="1">
      <c r="A173" s="77" t="inlineStr">
        <is>
          <t>VGR</t>
        </is>
      </c>
      <c r="B173" s="77" t="inlineStr">
        <is>
          <t>Pico</t>
        </is>
      </c>
      <c r="C173" s="80" t="inlineStr">
        <is>
          <t>PF1106</t>
        </is>
      </c>
      <c r="D173" s="80" t="inlineStr">
        <is>
          <t>KIDDE</t>
        </is>
      </c>
      <c r="E173" s="78" t="inlineStr">
        <is>
          <t>CATERPILLAR</t>
        </is>
      </c>
      <c r="F173" s="80" t="inlineStr">
        <is>
          <t>CAT MD6290</t>
        </is>
      </c>
      <c r="G173" s="81">
        <f>IFERROR(IF(F173=$AB$2,"",VLOOKUP(F173,'DATASHEET EQUIPAMENTOS'!D:N,2,FALSE)),"")</f>
        <v/>
      </c>
      <c r="H173" s="82" t="inlineStr">
        <is>
          <t>3x50lbs</t>
        </is>
      </c>
      <c r="I173" s="57">
        <f>_xlfn.XLOOKUP(Tabela2[[#This Row],[Modelo]],'DATASHEET EQUIPAMENTOS'!D:D,'DATASHEET EQUIPAMENTOS'!P:P,"",0,1)</f>
        <v/>
      </c>
      <c r="J173" s="81">
        <f>IF(F173=$Z$2,"",VLOOKUP(F173,'DATASHEET EQUIPAMENTOS'!D:N,3,FALSE))</f>
        <v/>
      </c>
      <c r="K173" s="85" t="inlineStr">
        <is>
          <t>2x15gal</t>
        </is>
      </c>
      <c r="L173" s="95">
        <f>IF(AZ173="CONFORME","CONFORME ✓","NÃO CONFORME ✗")</f>
        <v/>
      </c>
      <c r="M173" s="102">
        <f>IF(F173=$Z$2,"",VLOOKUP(F173,'DATASHEET EQUIPAMENTOS'!D:N,4,FALSE))</f>
        <v/>
      </c>
      <c r="N173" s="108" t="inlineStr">
        <is>
          <t>Linear</t>
        </is>
      </c>
      <c r="O173" s="102">
        <f>IF(F173=$Z$2,"",VLOOKUP(F173,'DATASHEET EQUIPAMENTOS'!D:N,5,FALSE))</f>
        <v/>
      </c>
      <c r="P173" s="103" t="n"/>
      <c r="Q173" s="102">
        <f>IF(F173=$Z$2,"",VLOOKUP(F173,'DATASHEET EQUIPAMENTOS'!D:N,6,FALSE))</f>
        <v/>
      </c>
      <c r="R173" s="104" t="n"/>
      <c r="S173" s="95">
        <f>IF(Tabela2[[#This Row],[Instalado Sensor Motor]]="Linear","CONFORME ✓",IF(SUM(M173,O173,Q173)&lt;SUM(N173,P173,R173),"CONFORME ✓",IF(SUM(M173,O173,Q173)=SUM(N173,P173,R173),"CONFORME ✓","NÃO CONFORME ✗")))</f>
        <v/>
      </c>
      <c r="T173" s="91">
        <f>IF(F173=$Z$2,"",VLOOKUP(F173,'DATASHEET EQUIPAMENTOS'!D:N,7,FALSE))</f>
        <v/>
      </c>
      <c r="U173" s="57" t="n">
        <v>7</v>
      </c>
      <c r="V173" s="56">
        <f>IF(F173=$Z$2,"",VLOOKUP(F173,'DATASHEET EQUIPAMENTOS'!D:N,8,FALSE))</f>
        <v/>
      </c>
      <c r="W173" s="57" t="n"/>
      <c r="X173" s="56">
        <f>IF(F173=$Z$2,"",VLOOKUP(F173,'DATASHEET EQUIPAMENTOS'!D:N,9,FALSE))</f>
        <v/>
      </c>
      <c r="Y173" s="57" t="n">
        <v>6</v>
      </c>
      <c r="Z173" s="57">
        <f>IF(SUM(T173,V173,X173)&lt;=SUM(U173,W173,Y173),"CONFORME ✓",IF(SUM(T173,V173,X173)&gt;SUM(U173,W173,Y173),"NÃO CONFORME ✗"))</f>
        <v/>
      </c>
      <c r="AA173" s="56">
        <f>IF(F173=$Z$2,"",VLOOKUP(F173,'DATASHEET EQUIPAMENTOS'!D:N,10,FALSE))</f>
        <v/>
      </c>
      <c r="AB173" s="57" t="n">
        <v>15</v>
      </c>
      <c r="AC173" s="56">
        <f>IF(F173=$Z$2,"",VLOOKUP(F173,'DATASHEET EQUIPAMENTOS'!D:N,11,FALSE))</f>
        <v/>
      </c>
      <c r="AD173" s="57" t="n"/>
      <c r="AE173" s="56">
        <f>IF(F173=$Z$2,"",VLOOKUP(F173,'DATASHEET EQUIPAMENTOS'!D:O,12,FALSE))</f>
        <v/>
      </c>
      <c r="AF173" s="57" t="n"/>
      <c r="AG173" s="57">
        <f>IF(SUM(AA173,AC173,AE173)&lt;=SUM(AB173,AD173,AF173),"CONFORME ✓",IF(SUM(AA173,AC173,AE173)&gt;SUM(AB173,AD173,AF173),"NÃO CONFORME ✗"))</f>
        <v/>
      </c>
      <c r="AH173" s="72" t="n">
        <v>4</v>
      </c>
      <c r="AI173" s="72" t="n">
        <v>4</v>
      </c>
      <c r="AJ173" s="72" t="n">
        <v>3</v>
      </c>
      <c r="AK173" s="7" t="inlineStr">
        <is>
          <t>REPOSICIONAR PAINEL MONITOR E ACUINADOR INTENO</t>
        </is>
      </c>
      <c r="AL173" s="58">
        <f>IFERROR(CALCULOS!H168,"NECESSÁRIO REVISAR DATASHEET")</f>
        <v/>
      </c>
      <c r="AM17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3" s="64">
        <f>SUM(Tabela2[[#This Row],[Nota de Prioridade Quantitativa(NOTAS: 1 PIOR NOTA; 5 MELHOR NOTA)]],Tabela2[[#This Row],[Nota de Prioridade Qualitativa(NOTAS: 1 PIOR NOTA;  5 MELHOR NOTA)]])</f>
        <v/>
      </c>
      <c r="AO173" s="7" t="n">
        <v>152237</v>
      </c>
      <c r="AP173" s="64">
        <f>SUM(Tabela2[[#This Row],[Nota de Prioridade Quantitativa(NOTAS: 1 PIOR NOTA; 5 MELHOR NOTA)]],Tabela2[[#This Row],[Nota de Prioridade Qualitativa(NOTAS: 1 PIOR NOTA;  5 MELHOR NOTA)]])</f>
        <v/>
      </c>
      <c r="AQ173" s="7" t="inlineStr">
        <is>
          <t>Qualificado por Rennan</t>
        </is>
      </c>
      <c r="AR173" s="64">
        <f>SUM(Tabela2[[#This Row],[Nota de Prioridade Quantitativa(NOTAS: 1 PIOR NOTA; 5 MELHOR NOTA)]],Tabela2[[#This Row],[Nota de Prioridade Qualitativa(NOTAS: 1 PIOR NOTA;  5 MELHOR NOTA)]])</f>
        <v/>
      </c>
      <c r="AS173" s="7" t="n"/>
      <c r="AZ173" s="20">
        <f t="array" ref="AZ173">StatusCarga(G173,H173,J173,K173)</f>
        <v/>
      </c>
      <c r="BA173" s="20">
        <f>IF(AZ173="CONFORME","CONFORME ✓","NÃO CONFORME ✗")</f>
        <v/>
      </c>
      <c r="BB173" t="n">
        <v>0</v>
      </c>
      <c r="BC173" t="n">
        <v>150</v>
      </c>
      <c r="BD173" t="n">
        <v>0</v>
      </c>
      <c r="BE173" t="n">
        <v>30</v>
      </c>
      <c r="BF173" t="inlineStr">
        <is>
          <t>CONFORME</t>
        </is>
      </c>
    </row>
    <row r="174" hidden="1" ht="21.75" customHeight="1" thickBot="1">
      <c r="A174" s="77" t="inlineStr">
        <is>
          <t>VGR</t>
        </is>
      </c>
      <c r="B174" s="77" t="inlineStr">
        <is>
          <t>Pico</t>
        </is>
      </c>
      <c r="C174" s="80" t="inlineStr">
        <is>
          <t>CA5495</t>
        </is>
      </c>
      <c r="D174" s="80" t="inlineStr">
        <is>
          <t>AFEX</t>
        </is>
      </c>
      <c r="E174" s="78" t="inlineStr">
        <is>
          <t>CATERPILLAR</t>
        </is>
      </c>
      <c r="F174" s="80" t="inlineStr">
        <is>
          <t>CAT 789D</t>
        </is>
      </c>
      <c r="G174" s="81">
        <f>IFERROR(IF(F174=$AB$2,"",VLOOKUP(F174,'DATASHEET EQUIPAMENTOS'!D:N,2,FALSE)),"")</f>
        <v/>
      </c>
      <c r="H174" s="82" t="inlineStr">
        <is>
          <t>2x60lbs</t>
        </is>
      </c>
      <c r="I174" s="57">
        <f>_xlfn.XLOOKUP(Tabela2[[#This Row],[Modelo]],'DATASHEET EQUIPAMENTOS'!D:D,'DATASHEET EQUIPAMENTOS'!P:P,"",0,1)</f>
        <v/>
      </c>
      <c r="J174" s="81">
        <f>IF(F174=$Z$2,"",VLOOKUP(F174,'DATASHEET EQUIPAMENTOS'!D:N,3,FALSE))</f>
        <v/>
      </c>
      <c r="K174" s="85" t="n">
        <v>0</v>
      </c>
      <c r="L174" s="95">
        <f>IF(AZ174="CONFORME","CONFORME ✓","NÃO CONFORME ✗")</f>
        <v/>
      </c>
      <c r="M174" s="102">
        <f>IF(F174=$Z$2,"",VLOOKUP(F174,'DATASHEET EQUIPAMENTOS'!D:N,4,FALSE))</f>
        <v/>
      </c>
      <c r="N174" s="108" t="n">
        <v>8</v>
      </c>
      <c r="O174" s="102">
        <f>IF(F174=$Z$2,"",VLOOKUP(F174,'DATASHEET EQUIPAMENTOS'!D:N,5,FALSE))</f>
        <v/>
      </c>
      <c r="P174" s="103" t="n">
        <v>1</v>
      </c>
      <c r="Q174" s="102">
        <f>IF(F174=$Z$2,"",VLOOKUP(F174,'DATASHEET EQUIPAMENTOS'!D:N,6,FALSE))</f>
        <v/>
      </c>
      <c r="R174" s="104" t="n">
        <v>1</v>
      </c>
      <c r="S174" s="95">
        <f>IF(Tabela2[[#This Row],[Instalado Sensor Motor]]="Linear","CONFORME ✓",IF(SUM(M174,O174,Q174)&lt;SUM(N174,P174,R174),"CONFORME ✓",IF(SUM(M174,O174,Q174)=SUM(N174,P174,R174),"CONFORME ✓","NÃO CONFORME ✗")))</f>
        <v/>
      </c>
      <c r="T174" s="91">
        <f>IF(F174=$Z$2,"",VLOOKUP(F174,'DATASHEET EQUIPAMENTOS'!D:N,7,FALSE))</f>
        <v/>
      </c>
      <c r="U174" s="57" t="n">
        <v>21</v>
      </c>
      <c r="V174" s="56">
        <f>IF(F174=$Z$2,"",VLOOKUP(F174,'DATASHEET EQUIPAMENTOS'!D:N,8,FALSE))</f>
        <v/>
      </c>
      <c r="W174" s="57" t="n">
        <v>3</v>
      </c>
      <c r="X174" s="56">
        <f>IF(F174=$Z$2,"",VLOOKUP(F174,'DATASHEET EQUIPAMENTOS'!D:N,9,FALSE))</f>
        <v/>
      </c>
      <c r="Y174" s="57" t="n">
        <v>3</v>
      </c>
      <c r="Z174" s="57">
        <f>IF(SUM(T174,V174,X174)&lt;=SUM(U174,W174,Y174),"CONFORME ✓",IF(SUM(T174,V174,X174)&gt;SUM(U174,W174,Y174),"NÃO CONFORME ✗"))</f>
        <v/>
      </c>
      <c r="AA174" s="56">
        <f>IF(F174=$Z$2,"",VLOOKUP(F174,'DATASHEET EQUIPAMENTOS'!D:N,10,FALSE))</f>
        <v/>
      </c>
      <c r="AB174" s="57" t="n">
        <v>0</v>
      </c>
      <c r="AC174" s="56">
        <f>IF(F174=$Z$2,"",VLOOKUP(F174,'DATASHEET EQUIPAMENTOS'!D:N,11,FALSE))</f>
        <v/>
      </c>
      <c r="AD174" s="57" t="n">
        <v>0</v>
      </c>
      <c r="AE174" s="56">
        <f>IF(F174=$Z$2,"",VLOOKUP(F174,'DATASHEET EQUIPAMENTOS'!D:O,12,FALSE))</f>
        <v/>
      </c>
      <c r="AF174" s="57" t="n">
        <v>0</v>
      </c>
      <c r="AG174" s="57">
        <f>IF(SUM(AA174,AC174,AE174)&lt;=SUM(AB174,AD174,AF174),"CONFORME ✓",IF(SUM(AA174,AC174,AE174)&gt;SUM(AB174,AD174,AF174),"NÃO CONFORME ✗"))</f>
        <v/>
      </c>
      <c r="AH174" s="72" t="n">
        <v>3</v>
      </c>
      <c r="AI174" s="72" t="n">
        <v>3</v>
      </c>
      <c r="AJ174" s="72" t="n">
        <v>4</v>
      </c>
      <c r="AK174" s="7" t="inlineStr">
        <is>
          <t>REPOSICIONAR PAINEL MONITOR E ACIONADOR INTERNO</t>
        </is>
      </c>
      <c r="AL174" s="58">
        <f>IFERROR(CALCULOS!H169,"NECESSÁRIO REVISAR DATASHEET")</f>
        <v/>
      </c>
      <c r="AM17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4" s="64">
        <f>SUM(Tabela2[[#This Row],[Nota de Prioridade Quantitativa(NOTAS: 1 PIOR NOTA; 5 MELHOR NOTA)]],Tabela2[[#This Row],[Nota de Prioridade Qualitativa(NOTAS: 1 PIOR NOTA;  5 MELHOR NOTA)]])</f>
        <v/>
      </c>
      <c r="AO174" s="7" t="n">
        <v>151955</v>
      </c>
      <c r="AP174" s="64">
        <f>SUM(Tabela2[[#This Row],[Nota de Prioridade Quantitativa(NOTAS: 1 PIOR NOTA; 5 MELHOR NOTA)]],Tabela2[[#This Row],[Nota de Prioridade Qualitativa(NOTAS: 1 PIOR NOTA;  5 MELHOR NOTA)]])</f>
        <v/>
      </c>
      <c r="AQ174" s="7" t="inlineStr">
        <is>
          <t>FOTOS DUPLICADAS BICOS E SENSORES</t>
        </is>
      </c>
      <c r="AR174" s="64">
        <f>SUM(Tabela2[[#This Row],[Nota de Prioridade Quantitativa(NOTAS: 1 PIOR NOTA; 5 MELHOR NOTA)]],Tabela2[[#This Row],[Nota de Prioridade Qualitativa(NOTAS: 1 PIOR NOTA;  5 MELHOR NOTA)]])</f>
        <v/>
      </c>
      <c r="AS174" s="7" t="n"/>
      <c r="AZ174" s="20">
        <f t="array" ref="AZ174">StatusCarga(G174,H174,J174,K174)</f>
        <v/>
      </c>
      <c r="BA174" s="20">
        <f>IF(AZ174="CONFORME","CONFORME ✓","NÃO CONFORME ✗")</f>
        <v/>
      </c>
      <c r="BB174" t="n">
        <v>0</v>
      </c>
      <c r="BC174" t="n">
        <v>120</v>
      </c>
      <c r="BD174" t="n">
        <v>0</v>
      </c>
      <c r="BE174" t="n">
        <v>0</v>
      </c>
      <c r="BF174" t="inlineStr">
        <is>
          <t>CONFORME</t>
        </is>
      </c>
    </row>
    <row r="175" hidden="1" ht="21.75" customHeight="1" thickBot="1">
      <c r="A175" s="77" t="inlineStr">
        <is>
          <t>VGR</t>
        </is>
      </c>
      <c r="B175" s="77" t="inlineStr">
        <is>
          <t>Tamanduá</t>
        </is>
      </c>
      <c r="C175" s="80" t="inlineStr">
        <is>
          <t>MN1112</t>
        </is>
      </c>
      <c r="D175" s="80" t="inlineStr">
        <is>
          <t>KIDDE</t>
        </is>
      </c>
      <c r="E175" s="78" t="inlineStr">
        <is>
          <t>CATERPILLAR</t>
        </is>
      </c>
      <c r="F175" s="80" t="inlineStr">
        <is>
          <t>CAT 12H</t>
        </is>
      </c>
      <c r="G175" s="81">
        <f>IFERROR(IF(F175=$AB$2,"",VLOOKUP(F175,'DATASHEET EQUIPAMENTOS'!D:N,2,FALSE)),"")</f>
        <v/>
      </c>
      <c r="H175" s="82" t="inlineStr">
        <is>
          <t>1xDSC - 50T</t>
        </is>
      </c>
      <c r="I175" s="57">
        <f>_xlfn.XLOOKUP(Tabela2[[#This Row],[Modelo]],'DATASHEET EQUIPAMENTOS'!D:D,'DATASHEET EQUIPAMENTOS'!P:P,"",0,1)</f>
        <v/>
      </c>
      <c r="J175" s="81">
        <f>IF(F175=$Z$2,"",VLOOKUP(F175,'DATASHEET EQUIPAMENTOS'!D:N,3,FALSE))</f>
        <v/>
      </c>
      <c r="K175" s="85" t="n">
        <v>0</v>
      </c>
      <c r="L175" s="95">
        <f>IF(AZ175="CONFORME","CONFORME ✓","NÃO CONFORME ✗")</f>
        <v/>
      </c>
      <c r="M175" s="102">
        <f>IF(F175=$Z$2,"",VLOOKUP(F175,'DATASHEET EQUIPAMENTOS'!D:N,4,FALSE))</f>
        <v/>
      </c>
      <c r="N175" s="108" t="inlineStr">
        <is>
          <t>Linear</t>
        </is>
      </c>
      <c r="O175" s="102">
        <f>IF(F175=$Z$2,"",VLOOKUP(F175,'DATASHEET EQUIPAMENTOS'!D:N,5,FALSE))</f>
        <v/>
      </c>
      <c r="P175" s="103" t="n"/>
      <c r="Q175" s="102">
        <f>IF(F175=$Z$2,"",VLOOKUP(F175,'DATASHEET EQUIPAMENTOS'!D:N,6,FALSE))</f>
        <v/>
      </c>
      <c r="R175" s="104" t="n"/>
      <c r="S175" s="95">
        <f>IF(Tabela2[[#This Row],[Instalado Sensor Motor]]="Linear","CONFORME ✓",IF(SUM(M175,O175,Q175)&lt;SUM(N175,P175,R175),"CONFORME ✓",IF(SUM(M175,O175,Q175)=SUM(N175,P175,R175),"CONFORME ✓","NÃO CONFORME ✗")))</f>
        <v/>
      </c>
      <c r="T175" s="91">
        <f>IF(F175=$Z$2,"",VLOOKUP(F175,'DATASHEET EQUIPAMENTOS'!D:N,7,FALSE))</f>
        <v/>
      </c>
      <c r="U175" s="57" t="n">
        <v>4</v>
      </c>
      <c r="V175" s="56">
        <f>IF(F175=$Z$2,"",VLOOKUP(F175,'DATASHEET EQUIPAMENTOS'!D:N,8,FALSE))</f>
        <v/>
      </c>
      <c r="W175" s="57" t="n">
        <v>0</v>
      </c>
      <c r="X175" s="56">
        <f>IF(F175=$Z$2,"",VLOOKUP(F175,'DATASHEET EQUIPAMENTOS'!D:N,9,FALSE))</f>
        <v/>
      </c>
      <c r="Y175" s="57" t="n">
        <v>0</v>
      </c>
      <c r="Z175" s="57">
        <f>IF(SUM(T175,V175,X175)&lt;=SUM(U175,W175,Y175),"CONFORME ✓",IF(SUM(T175,V175,X175)&gt;SUM(U175,W175,Y175),"NÃO CONFORME ✗"))</f>
        <v/>
      </c>
      <c r="AA175" s="56">
        <f>IF(F175=$Z$2,"",VLOOKUP(F175,'DATASHEET EQUIPAMENTOS'!D:N,10,FALSE))</f>
        <v/>
      </c>
      <c r="AB175" s="57" t="n">
        <v>0</v>
      </c>
      <c r="AC175" s="56">
        <f>IF(F175=$Z$2,"",VLOOKUP(F175,'DATASHEET EQUIPAMENTOS'!D:N,11,FALSE))</f>
        <v/>
      </c>
      <c r="AD175" s="57" t="n">
        <v>0</v>
      </c>
      <c r="AE175" s="56">
        <f>IF(F175=$Z$2,"",VLOOKUP(F175,'DATASHEET EQUIPAMENTOS'!D:O,12,FALSE))</f>
        <v/>
      </c>
      <c r="AF175" s="57" t="n">
        <v>0</v>
      </c>
      <c r="AG175" s="57">
        <f>IF(SUM(AA175,AC175,AE175)&lt;=SUM(AB175,AD175,AF175),"CONFORME ✓",IF(SUM(AA175,AC175,AE175)&gt;SUM(AB175,AD175,AF175),"NÃO CONFORME ✗"))</f>
        <v/>
      </c>
      <c r="AH175" s="72" t="n">
        <v>2.5</v>
      </c>
      <c r="AI175" s="72" t="n">
        <v>3</v>
      </c>
      <c r="AJ175" s="72" t="n">
        <v>4</v>
      </c>
      <c r="AK175" s="7" t="inlineStr">
        <is>
          <t>ADEQUAR QUANTIDADE DE BICOS PQS; REPOSICIONAR CABO LINEAR LHS</t>
        </is>
      </c>
      <c r="AL175" s="58">
        <f>IFERROR(CALCULOS!H170,"NECESSÁRIO REVISAR DATASHEET")</f>
        <v/>
      </c>
      <c r="AM17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5" s="64">
        <f>SUM(Tabela2[[#This Row],[Nota de Prioridade Quantitativa(NOTAS: 1 PIOR NOTA; 5 MELHOR NOTA)]],Tabela2[[#This Row],[Nota de Prioridade Qualitativa(NOTAS: 1 PIOR NOTA;  5 MELHOR NOTA)]])</f>
        <v/>
      </c>
      <c r="AO175" s="7" t="n">
        <v>152747</v>
      </c>
      <c r="AP175" s="64">
        <f>SUM(Tabela2[[#This Row],[Nota de Prioridade Quantitativa(NOTAS: 1 PIOR NOTA; 5 MELHOR NOTA)]],Tabela2[[#This Row],[Nota de Prioridade Qualitativa(NOTAS: 1 PIOR NOTA;  5 MELHOR NOTA)]])</f>
        <v/>
      </c>
      <c r="AQ175" s="7" t="n"/>
      <c r="AR175" s="64">
        <f>SUM(Tabela2[[#This Row],[Nota de Prioridade Quantitativa(NOTAS: 1 PIOR NOTA; 5 MELHOR NOTA)]],Tabela2[[#This Row],[Nota de Prioridade Qualitativa(NOTAS: 1 PIOR NOTA;  5 MELHOR NOTA)]])</f>
        <v/>
      </c>
      <c r="AS175" s="7" t="n"/>
      <c r="AZ175" s="20">
        <f t="array" ref="AZ175">StatusCarga(G175,H175,J175,K175)</f>
        <v/>
      </c>
      <c r="BA175" s="20">
        <f>IF(AZ175="CONFORME","CONFORME ✓","NÃO CONFORME ✗")</f>
        <v/>
      </c>
      <c r="BB175" t="n">
        <v>0</v>
      </c>
      <c r="BC175" t="n">
        <v>0</v>
      </c>
      <c r="BD175" t="n">
        <v>0</v>
      </c>
      <c r="BE175" t="n">
        <v>0</v>
      </c>
      <c r="BF175" t="inlineStr">
        <is>
          <t>CONFORME</t>
        </is>
      </c>
    </row>
    <row r="176" hidden="1" ht="21.75" customHeight="1" thickBot="1">
      <c r="A176" s="77" t="inlineStr">
        <is>
          <t>VGR</t>
        </is>
      </c>
      <c r="B176" s="77" t="inlineStr">
        <is>
          <t>Tamanduá</t>
        </is>
      </c>
      <c r="C176" s="80" t="inlineStr">
        <is>
          <t>CA5523</t>
        </is>
      </c>
      <c r="D176" s="80" t="inlineStr">
        <is>
          <t>AFEX</t>
        </is>
      </c>
      <c r="E176" s="78" t="inlineStr">
        <is>
          <t>CATERPILLAR</t>
        </is>
      </c>
      <c r="F176" s="80" t="inlineStr">
        <is>
          <t>CAT 775F</t>
        </is>
      </c>
      <c r="G176" s="81">
        <f>IFERROR(IF(F176=$AB$2,"",VLOOKUP(F176,'DATASHEET EQUIPAMENTOS'!D:N,2,FALSE)),"")</f>
        <v/>
      </c>
      <c r="H176" s="82" t="inlineStr">
        <is>
          <t>2x30lbs</t>
        </is>
      </c>
      <c r="I176" s="57">
        <f>_xlfn.XLOOKUP(Tabela2[[#This Row],[Modelo]],'DATASHEET EQUIPAMENTOS'!D:D,'DATASHEET EQUIPAMENTOS'!P:P,"",0,1)</f>
        <v/>
      </c>
      <c r="J176" s="81">
        <f>IF(F176=$Z$2,"",VLOOKUP(F176,'DATASHEET EQUIPAMENTOS'!D:N,3,FALSE))</f>
        <v/>
      </c>
      <c r="K176" s="85" t="n">
        <v>0</v>
      </c>
      <c r="L176" s="95">
        <f>IF(AZ176="CONFORME","CONFORME ✓","NÃO CONFORME ✗")</f>
        <v/>
      </c>
      <c r="M176" s="102">
        <f>IF(F176=$Z$2,"",VLOOKUP(F176,'DATASHEET EQUIPAMENTOS'!D:N,4,FALSE))</f>
        <v/>
      </c>
      <c r="N176" s="108" t="n">
        <v>5</v>
      </c>
      <c r="O176" s="102">
        <f>IF(F176=$Z$2,"",VLOOKUP(F176,'DATASHEET EQUIPAMENTOS'!D:N,5,FALSE))</f>
        <v/>
      </c>
      <c r="P176" s="103" t="n">
        <v>0</v>
      </c>
      <c r="Q176" s="102">
        <f>IF(F176=$Z$2,"",VLOOKUP(F176,'DATASHEET EQUIPAMENTOS'!D:N,6,FALSE))</f>
        <v/>
      </c>
      <c r="R176" s="104" t="n">
        <v>0</v>
      </c>
      <c r="S176" s="95">
        <f>IF(Tabela2[[#This Row],[Instalado Sensor Motor]]="Linear","CONFORME ✓",IF(SUM(M176,O176,Q176)&lt;SUM(N176,P176,R176),"CONFORME ✓",IF(SUM(M176,O176,Q176)=SUM(N176,P176,R176),"CONFORME ✓","NÃO CONFORME ✗")))</f>
        <v/>
      </c>
      <c r="T176" s="91">
        <f>IF(F176=$Z$2,"",VLOOKUP(F176,'DATASHEET EQUIPAMENTOS'!D:N,7,FALSE))</f>
        <v/>
      </c>
      <c r="U176" s="57" t="n">
        <v>12</v>
      </c>
      <c r="V176" s="56">
        <f>IF(F176=$Z$2,"",VLOOKUP(F176,'DATASHEET EQUIPAMENTOS'!D:N,8,FALSE))</f>
        <v/>
      </c>
      <c r="W176" s="57" t="n">
        <v>0</v>
      </c>
      <c r="X176" s="56">
        <f>IF(F176=$Z$2,"",VLOOKUP(F176,'DATASHEET EQUIPAMENTOS'!D:N,9,FALSE))</f>
        <v/>
      </c>
      <c r="Y176" s="57" t="n">
        <v>0</v>
      </c>
      <c r="Z176" s="57">
        <f>IF(SUM(T176,V176,X176)&lt;=SUM(U176,W176,Y176),"CONFORME ✓",IF(SUM(T176,V176,X176)&gt;SUM(U176,W176,Y176),"NÃO CONFORME ✗"))</f>
        <v/>
      </c>
      <c r="AA176" s="56">
        <f>IF(F176=$Z$2,"",VLOOKUP(F176,'DATASHEET EQUIPAMENTOS'!D:N,10,FALSE))</f>
        <v/>
      </c>
      <c r="AB176" s="57" t="n">
        <v>0</v>
      </c>
      <c r="AC176" s="56">
        <f>IF(F176=$Z$2,"",VLOOKUP(F176,'DATASHEET EQUIPAMENTOS'!D:N,11,FALSE))</f>
        <v/>
      </c>
      <c r="AD176" s="57" t="n">
        <v>0</v>
      </c>
      <c r="AE176" s="56">
        <f>IF(F176=$Z$2,"",VLOOKUP(F176,'DATASHEET EQUIPAMENTOS'!D:O,12,FALSE))</f>
        <v/>
      </c>
      <c r="AF176" s="57" t="n">
        <v>0</v>
      </c>
      <c r="AG176" s="57">
        <f>IF(SUM(AA176,AC176,AE176)&lt;=SUM(AB176,AD176,AF176),"CONFORME ✓",IF(SUM(AA176,AC176,AE176)&gt;SUM(AB176,AD176,AF176),"NÃO CONFORME ✗"))</f>
        <v/>
      </c>
      <c r="AH176" s="72" t="n">
        <v>2.5</v>
      </c>
      <c r="AI176" s="72" t="n">
        <v>2.5</v>
      </c>
      <c r="AJ176" s="72" t="n">
        <v>5</v>
      </c>
      <c r="AK176" s="7" t="inlineStr">
        <is>
          <t>REPOSICIONAR SENSORES E CABOS DE SENSORES; REPOSICIONAR MANGUEIRAS DE AGENTE PQS</t>
        </is>
      </c>
      <c r="AL176" s="58">
        <f>IFERROR(CALCULOS!H171,"NECESSÁRIO REVISAR DATASHEET")</f>
        <v/>
      </c>
      <c r="AM17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6" s="64">
        <f>SUM(Tabela2[[#This Row],[Nota de Prioridade Quantitativa(NOTAS: 1 PIOR NOTA; 5 MELHOR NOTA)]],Tabela2[[#This Row],[Nota de Prioridade Qualitativa(NOTAS: 1 PIOR NOTA;  5 MELHOR NOTA)]])</f>
        <v/>
      </c>
      <c r="AO176" s="7" t="n">
        <v>149726</v>
      </c>
      <c r="AP176" s="64">
        <f>SUM(Tabela2[[#This Row],[Nota de Prioridade Quantitativa(NOTAS: 1 PIOR NOTA; 5 MELHOR NOTA)]],Tabela2[[#This Row],[Nota de Prioridade Qualitativa(NOTAS: 1 PIOR NOTA;  5 MELHOR NOTA)]])</f>
        <v/>
      </c>
      <c r="AQ176" s="7" t="n"/>
      <c r="AR176" s="64">
        <f>SUM(Tabela2[[#This Row],[Nota de Prioridade Quantitativa(NOTAS: 1 PIOR NOTA; 5 MELHOR NOTA)]],Tabela2[[#This Row],[Nota de Prioridade Qualitativa(NOTAS: 1 PIOR NOTA;  5 MELHOR NOTA)]])</f>
        <v/>
      </c>
      <c r="AS176" s="7" t="n"/>
      <c r="AZ176" s="20">
        <f t="array" ref="AZ176">StatusCarga(G176,H176,J176,K176)</f>
        <v/>
      </c>
      <c r="BA176" s="20">
        <f>IF(AZ176="CONFORME","CONFORME ✓","NÃO CONFORME ✗")</f>
        <v/>
      </c>
      <c r="BB176" t="n">
        <v>0</v>
      </c>
      <c r="BC176" t="n">
        <v>60</v>
      </c>
      <c r="BD176" t="n">
        <v>0</v>
      </c>
      <c r="BE176" t="n">
        <v>0</v>
      </c>
      <c r="BF176" t="inlineStr">
        <is>
          <t>CONFORME</t>
        </is>
      </c>
    </row>
    <row r="177" hidden="1" ht="21.75" customHeight="1" thickBot="1">
      <c r="A177" s="77" t="inlineStr">
        <is>
          <t>VGR</t>
        </is>
      </c>
      <c r="B177" s="77" t="inlineStr">
        <is>
          <t>Tamanduá</t>
        </is>
      </c>
      <c r="C177" s="80" t="inlineStr">
        <is>
          <t>CA5505</t>
        </is>
      </c>
      <c r="D177" s="80" t="inlineStr">
        <is>
          <t>AFEX</t>
        </is>
      </c>
      <c r="E177" s="78" t="inlineStr">
        <is>
          <t>CATERPILLAR</t>
        </is>
      </c>
      <c r="F177" s="80" t="inlineStr">
        <is>
          <t>CAT 775F</t>
        </is>
      </c>
      <c r="G177" s="81">
        <f>IFERROR(IF(F177=$AB$2,"",VLOOKUP(F177,'DATASHEET EQUIPAMENTOS'!D:N,2,FALSE)),"")</f>
        <v/>
      </c>
      <c r="H177" s="82" t="inlineStr">
        <is>
          <t>2x30lbs</t>
        </is>
      </c>
      <c r="I177" s="57">
        <f>_xlfn.XLOOKUP(Tabela2[[#This Row],[Modelo]],'DATASHEET EQUIPAMENTOS'!D:D,'DATASHEET EQUIPAMENTOS'!P:P,"",0,1)</f>
        <v/>
      </c>
      <c r="J177" s="81">
        <f>IF(F177=$Z$2,"",VLOOKUP(F177,'DATASHEET EQUIPAMENTOS'!D:N,3,FALSE))</f>
        <v/>
      </c>
      <c r="K177" s="85" t="n">
        <v>0</v>
      </c>
      <c r="L177" s="95">
        <f>IF(AZ177="CONFORME","CONFORME ✓","NÃO CONFORME ✗")</f>
        <v/>
      </c>
      <c r="M177" s="102">
        <f>IF(F177=$Z$2,"",VLOOKUP(F177,'DATASHEET EQUIPAMENTOS'!D:N,4,FALSE))</f>
        <v/>
      </c>
      <c r="N177" s="108" t="n">
        <v>4</v>
      </c>
      <c r="O177" s="102">
        <f>IF(F177=$Z$2,"",VLOOKUP(F177,'DATASHEET EQUIPAMENTOS'!D:N,5,FALSE))</f>
        <v/>
      </c>
      <c r="P177" s="103" t="n">
        <v>0</v>
      </c>
      <c r="Q177" s="102">
        <f>IF(F177=$Z$2,"",VLOOKUP(F177,'DATASHEET EQUIPAMENTOS'!D:N,6,FALSE))</f>
        <v/>
      </c>
      <c r="R177" s="104" t="n">
        <v>0</v>
      </c>
      <c r="S177" s="95">
        <f>IF(Tabela2[[#This Row],[Instalado Sensor Motor]]="Linear","CONFORME ✓",IF(SUM(M177,O177,Q177)&lt;SUM(N177,P177,R177),"CONFORME ✓",IF(SUM(M177,O177,Q177)=SUM(N177,P177,R177),"CONFORME ✓","NÃO CONFORME ✗")))</f>
        <v/>
      </c>
      <c r="T177" s="91">
        <f>IF(F177=$Z$2,"",VLOOKUP(F177,'DATASHEET EQUIPAMENTOS'!D:N,7,FALSE))</f>
        <v/>
      </c>
      <c r="U177" s="62" t="n">
        <v>12</v>
      </c>
      <c r="V177" s="56">
        <f>IF(F177=$Z$2,"",VLOOKUP(F177,'DATASHEET EQUIPAMENTOS'!D:N,8,FALSE))</f>
        <v/>
      </c>
      <c r="W177" s="57" t="n">
        <v>0</v>
      </c>
      <c r="X177" s="56">
        <f>IF(F177=$Z$2,"",VLOOKUP(F177,'DATASHEET EQUIPAMENTOS'!D:N,9,FALSE))</f>
        <v/>
      </c>
      <c r="Y177" s="57" t="n">
        <v>0</v>
      </c>
      <c r="Z177" s="57">
        <f>IF(SUM(T177,V177,X177)&lt;=SUM(U177,W177,Y177),"CONFORME ✓",IF(SUM(T177,V177,X177)&gt;SUM(U177,W177,Y177),"NÃO CONFORME ✗"))</f>
        <v/>
      </c>
      <c r="AA177" s="56">
        <f>IF(F177=$Z$2,"",VLOOKUP(F177,'DATASHEET EQUIPAMENTOS'!D:N,10,FALSE))</f>
        <v/>
      </c>
      <c r="AB177" s="57" t="n">
        <v>0</v>
      </c>
      <c r="AC177" s="56">
        <f>IF(F177=$Z$2,"",VLOOKUP(F177,'DATASHEET EQUIPAMENTOS'!D:N,11,FALSE))</f>
        <v/>
      </c>
      <c r="AD177" s="57" t="n">
        <v>0</v>
      </c>
      <c r="AE177" s="56">
        <f>IF(F177=$Z$2,"",VLOOKUP(F177,'DATASHEET EQUIPAMENTOS'!D:O,12,FALSE))</f>
        <v/>
      </c>
      <c r="AF177" s="57" t="n">
        <v>0</v>
      </c>
      <c r="AG177" s="57">
        <f>IF(SUM(AA177,AC177,AE177)&lt;=SUM(AB177,AD177,AF177),"CONFORME ✓",IF(SUM(AA177,AC177,AE177)&gt;SUM(AB177,AD177,AF177),"NÃO CONFORME ✗"))</f>
        <v/>
      </c>
      <c r="AH177" s="72" t="n">
        <v>3</v>
      </c>
      <c r="AI177" s="72" t="n">
        <v>4</v>
      </c>
      <c r="AJ177" s="72" t="n">
        <v>5</v>
      </c>
      <c r="AK177" s="7" t="inlineStr">
        <is>
          <t>MELHORAR FIXAÇÃO DOS CABOS DE SENSORES</t>
        </is>
      </c>
      <c r="AL177" s="58">
        <f>IFERROR(CALCULOS!H172,"NECESSÁRIO REVISAR DATASHEET")</f>
        <v/>
      </c>
      <c r="AM17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7" s="64">
        <f>SUM(Tabela2[[#This Row],[Nota de Prioridade Quantitativa(NOTAS: 1 PIOR NOTA; 5 MELHOR NOTA)]],Tabela2[[#This Row],[Nota de Prioridade Qualitativa(NOTAS: 1 PIOR NOTA;  5 MELHOR NOTA)]])</f>
        <v/>
      </c>
      <c r="AO177" s="7" t="n">
        <v>149363</v>
      </c>
      <c r="AP177" s="64">
        <f>SUM(Tabela2[[#This Row],[Nota de Prioridade Quantitativa(NOTAS: 1 PIOR NOTA; 5 MELHOR NOTA)]],Tabela2[[#This Row],[Nota de Prioridade Qualitativa(NOTAS: 1 PIOR NOTA;  5 MELHOR NOTA)]])</f>
        <v/>
      </c>
      <c r="AQ177" s="7" t="n"/>
      <c r="AR177" s="64">
        <f>SUM(Tabela2[[#This Row],[Nota de Prioridade Quantitativa(NOTAS: 1 PIOR NOTA; 5 MELHOR NOTA)]],Tabela2[[#This Row],[Nota de Prioridade Qualitativa(NOTAS: 1 PIOR NOTA;  5 MELHOR NOTA)]])</f>
        <v/>
      </c>
      <c r="AS177" s="7" t="n"/>
      <c r="AZ177" s="20">
        <f t="array" ref="AZ177">StatusCarga(G177,H177,J177,K177)</f>
        <v/>
      </c>
      <c r="BA177" s="20">
        <f>IF(AZ177="CONFORME","CONFORME ✓","NÃO CONFORME ✗")</f>
        <v/>
      </c>
      <c r="BB177" t="n">
        <v>0</v>
      </c>
      <c r="BC177" t="n">
        <v>60</v>
      </c>
      <c r="BD177" t="n">
        <v>0</v>
      </c>
      <c r="BE177" t="n">
        <v>0</v>
      </c>
      <c r="BF177" t="inlineStr">
        <is>
          <t>CONFORME</t>
        </is>
      </c>
    </row>
    <row r="178" hidden="1" ht="21.75" customHeight="1" thickBot="1">
      <c r="A178" s="77" t="inlineStr">
        <is>
          <t>VGR</t>
        </is>
      </c>
      <c r="B178" s="77" t="inlineStr">
        <is>
          <t>Tamanduá</t>
        </is>
      </c>
      <c r="C178" s="80" t="inlineStr">
        <is>
          <t>CA5534</t>
        </is>
      </c>
      <c r="D178" s="80" t="inlineStr">
        <is>
          <t>AFEX</t>
        </is>
      </c>
      <c r="E178" s="78" t="inlineStr">
        <is>
          <t>CATERPILLAR</t>
        </is>
      </c>
      <c r="F178" s="80" t="inlineStr">
        <is>
          <t>cat 775G</t>
        </is>
      </c>
      <c r="G178" s="81">
        <f>IFERROR(IF(F178=$AB$2,"",VLOOKUP(F178,'DATASHEET EQUIPAMENTOS'!D:N,2,FALSE)),"")</f>
        <v/>
      </c>
      <c r="H178" s="82" t="inlineStr">
        <is>
          <t>2x30lbs</t>
        </is>
      </c>
      <c r="I178" s="57">
        <f>_xlfn.XLOOKUP(Tabela2[[#This Row],[Modelo]],'DATASHEET EQUIPAMENTOS'!D:D,'DATASHEET EQUIPAMENTOS'!P:P,"",0,1)</f>
        <v/>
      </c>
      <c r="J178" s="81">
        <f>IF(F178=$Z$2,"",VLOOKUP(F178,'DATASHEET EQUIPAMENTOS'!D:N,3,FALSE))</f>
        <v/>
      </c>
      <c r="K178" s="85" t="n">
        <v>0</v>
      </c>
      <c r="L178" s="95">
        <f>IF(AZ178="CONFORME","CONFORME ✓","NÃO CONFORME ✗")</f>
        <v/>
      </c>
      <c r="M178" s="102">
        <f>IF(F178=$Z$2,"",VLOOKUP(F178,'DATASHEET EQUIPAMENTOS'!D:N,4,FALSE))</f>
        <v/>
      </c>
      <c r="N178" s="108" t="n">
        <v>5</v>
      </c>
      <c r="O178" s="102">
        <f>IF(F178=$Z$2,"",VLOOKUP(F178,'DATASHEET EQUIPAMENTOS'!D:N,5,FALSE))</f>
        <v/>
      </c>
      <c r="P178" s="103" t="n">
        <v>0</v>
      </c>
      <c r="Q178" s="102">
        <f>IF(F178=$Z$2,"",VLOOKUP(F178,'DATASHEET EQUIPAMENTOS'!D:N,6,FALSE))</f>
        <v/>
      </c>
      <c r="R178" s="104" t="n">
        <v>0</v>
      </c>
      <c r="S178" s="95">
        <f>IF(Tabela2[[#This Row],[Instalado Sensor Motor]]="Linear","CONFORME ✓",IF(SUM(M178,O178,Q178)&lt;SUM(N178,P178,R178),"CONFORME ✓",IF(SUM(M178,O178,Q178)=SUM(N178,P178,R178),"CONFORME ✓","NÃO CONFORME ✗")))</f>
        <v/>
      </c>
      <c r="T178" s="91">
        <f>IF(F178=$Z$2,"",VLOOKUP(F178,'DATASHEET EQUIPAMENTOS'!D:N,7,FALSE))</f>
        <v/>
      </c>
      <c r="U178" s="57" t="n">
        <v>12</v>
      </c>
      <c r="V178" s="56">
        <f>IF(F178=$Z$2,"",VLOOKUP(F178,'DATASHEET EQUIPAMENTOS'!D:N,8,FALSE))</f>
        <v/>
      </c>
      <c r="W178" s="57" t="n"/>
      <c r="X178" s="56">
        <f>IF(F178=$Z$2,"",VLOOKUP(F178,'DATASHEET EQUIPAMENTOS'!D:N,9,FALSE))</f>
        <v/>
      </c>
      <c r="Y178" s="57" t="n"/>
      <c r="Z178" s="57">
        <f>IF(SUM(T178,V178,X178)&lt;=SUM(U178,W178,Y178),"CONFORME ✓",IF(SUM(T178,V178,X178)&gt;SUM(U178,W178,Y178),"NÃO CONFORME ✗"))</f>
        <v/>
      </c>
      <c r="AA178" s="56">
        <f>IF(F178=$Z$2,"",VLOOKUP(F178,'DATASHEET EQUIPAMENTOS'!D:N,10,FALSE))</f>
        <v/>
      </c>
      <c r="AB178" s="57" t="n">
        <v>0</v>
      </c>
      <c r="AC178" s="56">
        <f>IF(F178=$Z$2,"",VLOOKUP(F178,'DATASHEET EQUIPAMENTOS'!D:N,11,FALSE))</f>
        <v/>
      </c>
      <c r="AD178" s="57" t="n">
        <v>0</v>
      </c>
      <c r="AE178" s="56">
        <f>IF(F178=$Z$2,"",VLOOKUP(F178,'DATASHEET EQUIPAMENTOS'!D:O,12,FALSE))</f>
        <v/>
      </c>
      <c r="AF178" s="57" t="n">
        <v>0</v>
      </c>
      <c r="AG178" s="57">
        <f>IF(SUM(AA178,AC178,AE178)&lt;=SUM(AB178,AD178,AF178),"CONFORME ✓",IF(SUM(AA178,AC178,AE178)&gt;SUM(AB178,AD178,AF178),"NÃO CONFORME ✗"))</f>
        <v/>
      </c>
      <c r="AH178" s="72" t="n">
        <v>4</v>
      </c>
      <c r="AI178" s="72" t="n">
        <v>4</v>
      </c>
      <c r="AJ178" s="72" t="n">
        <v>5</v>
      </c>
      <c r="AK178" s="7" t="inlineStr">
        <is>
          <t>READEQUAR E REPOSICIONAR SENSORES</t>
        </is>
      </c>
      <c r="AL178" s="58">
        <f>IFERROR(CALCULOS!H173,"NECESSÁRIO REVISAR DATASHEET")</f>
        <v/>
      </c>
      <c r="AM17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8" s="64">
        <f>SUM(Tabela2[[#This Row],[Nota de Prioridade Quantitativa(NOTAS: 1 PIOR NOTA; 5 MELHOR NOTA)]],Tabela2[[#This Row],[Nota de Prioridade Qualitativa(NOTAS: 1 PIOR NOTA;  5 MELHOR NOTA)]])</f>
        <v/>
      </c>
      <c r="AO178" s="7" t="n">
        <v>151379</v>
      </c>
      <c r="AP178" s="64">
        <f>SUM(Tabela2[[#This Row],[Nota de Prioridade Quantitativa(NOTAS: 1 PIOR NOTA; 5 MELHOR NOTA)]],Tabela2[[#This Row],[Nota de Prioridade Qualitativa(NOTAS: 1 PIOR NOTA;  5 MELHOR NOTA)]])</f>
        <v/>
      </c>
      <c r="AQ178" s="7" t="n"/>
      <c r="AR178" s="64">
        <f>SUM(Tabela2[[#This Row],[Nota de Prioridade Quantitativa(NOTAS: 1 PIOR NOTA; 5 MELHOR NOTA)]],Tabela2[[#This Row],[Nota de Prioridade Qualitativa(NOTAS: 1 PIOR NOTA;  5 MELHOR NOTA)]])</f>
        <v/>
      </c>
      <c r="AS178" s="7" t="n"/>
      <c r="AZ178" s="20">
        <f t="array" ref="AZ178">StatusCarga(G178,H178,J178,K178)</f>
        <v/>
      </c>
      <c r="BA178" s="20">
        <f>IF(AZ178="CONFORME","CONFORME ✓","NÃO CONFORME ✗")</f>
        <v/>
      </c>
      <c r="BB178" t="n">
        <v>0</v>
      </c>
      <c r="BC178" t="n">
        <v>60</v>
      </c>
      <c r="BD178" t="n">
        <v>0</v>
      </c>
      <c r="BE178" t="n">
        <v>0</v>
      </c>
      <c r="BF178" t="inlineStr">
        <is>
          <t>CONFORME</t>
        </is>
      </c>
    </row>
    <row r="179" hidden="1" ht="21.75" customHeight="1" thickBot="1">
      <c r="A179" s="77" t="inlineStr">
        <is>
          <t>VGR</t>
        </is>
      </c>
      <c r="B179" s="77" t="inlineStr">
        <is>
          <t>Tamanduá</t>
        </is>
      </c>
      <c r="C179" s="80" t="inlineStr">
        <is>
          <t>CA5524</t>
        </is>
      </c>
      <c r="D179" s="80" t="inlineStr">
        <is>
          <t>AFEX</t>
        </is>
      </c>
      <c r="E179" s="78" t="inlineStr">
        <is>
          <t>CATERPILLAR</t>
        </is>
      </c>
      <c r="F179" s="80" t="inlineStr">
        <is>
          <t>cat 775G</t>
        </is>
      </c>
      <c r="G179" s="81">
        <f>IFERROR(IF(F179=$AB$2,"",VLOOKUP(F179,'DATASHEET EQUIPAMENTOS'!D:N,2,FALSE)),"")</f>
        <v/>
      </c>
      <c r="H179" s="82" t="inlineStr">
        <is>
          <t>2x30lbs</t>
        </is>
      </c>
      <c r="I179" s="57">
        <f>_xlfn.XLOOKUP(Tabela2[[#This Row],[Modelo]],'DATASHEET EQUIPAMENTOS'!D:D,'DATASHEET EQUIPAMENTOS'!P:P,"",0,1)</f>
        <v/>
      </c>
      <c r="J179" s="81">
        <f>IF(F179=$Z$2,"",VLOOKUP(F179,'DATASHEET EQUIPAMENTOS'!D:N,3,FALSE))</f>
        <v/>
      </c>
      <c r="K179" s="85" t="n">
        <v>0</v>
      </c>
      <c r="L179" s="95">
        <f>IF(AZ179="CONFORME","CONFORME ✓","NÃO CONFORME ✗")</f>
        <v/>
      </c>
      <c r="M179" s="102">
        <f>IF(F179=$Z$2,"",VLOOKUP(F179,'DATASHEET EQUIPAMENTOS'!D:N,4,FALSE))</f>
        <v/>
      </c>
      <c r="N179" s="108" t="n">
        <v>4</v>
      </c>
      <c r="O179" s="102">
        <f>IF(F179=$Z$2,"",VLOOKUP(F179,'DATASHEET EQUIPAMENTOS'!D:N,5,FALSE))</f>
        <v/>
      </c>
      <c r="P179" s="103" t="n">
        <v>0</v>
      </c>
      <c r="Q179" s="102">
        <f>IF(F179=$Z$2,"",VLOOKUP(F179,'DATASHEET EQUIPAMENTOS'!D:N,6,FALSE))</f>
        <v/>
      </c>
      <c r="R179" s="104" t="n">
        <v>0</v>
      </c>
      <c r="S179" s="95">
        <f>IF(Tabela2[[#This Row],[Instalado Sensor Motor]]="Linear","CONFORME ✓",IF(SUM(M179,O179,Q179)&lt;SUM(N179,P179,R179),"CONFORME ✓",IF(SUM(M179,O179,Q179)=SUM(N179,P179,R179),"CONFORME ✓","NÃO CONFORME ✗")))</f>
        <v/>
      </c>
      <c r="T179" s="91">
        <f>IF(F179=$Z$2,"",VLOOKUP(F179,'DATASHEET EQUIPAMENTOS'!D:N,7,FALSE))</f>
        <v/>
      </c>
      <c r="U179" s="57" t="n">
        <v>12</v>
      </c>
      <c r="V179" s="56">
        <f>IF(F179=$Z$2,"",VLOOKUP(F179,'DATASHEET EQUIPAMENTOS'!D:N,8,FALSE))</f>
        <v/>
      </c>
      <c r="W179" s="57" t="n">
        <v>0</v>
      </c>
      <c r="X179" s="56">
        <f>IF(F179=$Z$2,"",VLOOKUP(F179,'DATASHEET EQUIPAMENTOS'!D:N,9,FALSE))</f>
        <v/>
      </c>
      <c r="Y179" s="57" t="n">
        <v>0</v>
      </c>
      <c r="Z179" s="57">
        <f>IF(SUM(T179,V179,X179)&lt;=SUM(U179,W179,Y179),"CONFORME ✓",IF(SUM(T179,V179,X179)&gt;SUM(U179,W179,Y179),"NÃO CONFORME ✗"))</f>
        <v/>
      </c>
      <c r="AA179" s="56">
        <f>IF(F179=$Z$2,"",VLOOKUP(F179,'DATASHEET EQUIPAMENTOS'!D:N,10,FALSE))</f>
        <v/>
      </c>
      <c r="AB179" s="57" t="n">
        <v>0</v>
      </c>
      <c r="AC179" s="56">
        <f>IF(F179=$Z$2,"",VLOOKUP(F179,'DATASHEET EQUIPAMENTOS'!D:N,11,FALSE))</f>
        <v/>
      </c>
      <c r="AD179" s="57" t="n"/>
      <c r="AE179" s="56">
        <f>IF(F179=$Z$2,"",VLOOKUP(F179,'DATASHEET EQUIPAMENTOS'!D:O,12,FALSE))</f>
        <v/>
      </c>
      <c r="AF179" s="57" t="n">
        <v>0</v>
      </c>
      <c r="AG179" s="57">
        <f>IF(SUM(AA179,AC179,AE179)&lt;=SUM(AB179,AD179,AF179),"CONFORME ✓",IF(SUM(AA179,AC179,AE179)&gt;SUM(AB179,AD179,AF179),"NÃO CONFORME ✗"))</f>
        <v/>
      </c>
      <c r="AH179" s="72" t="n">
        <v>3</v>
      </c>
      <c r="AI179" s="72" t="n">
        <v>3</v>
      </c>
      <c r="AJ179" s="72" t="n">
        <v>5</v>
      </c>
      <c r="AK179" s="7" t="inlineStr">
        <is>
          <t>READEQUAR E REPOSICIONAR SENSORES E MANGUEIRAS</t>
        </is>
      </c>
      <c r="AL179" s="58">
        <f>IFERROR(CALCULOS!H174,"NECESSÁRIO REVISAR DATASHEET")</f>
        <v/>
      </c>
      <c r="AM17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79" s="64">
        <f>SUM(Tabela2[[#This Row],[Nota de Prioridade Quantitativa(NOTAS: 1 PIOR NOTA; 5 MELHOR NOTA)]],Tabela2[[#This Row],[Nota de Prioridade Qualitativa(NOTAS: 1 PIOR NOTA;  5 MELHOR NOTA)]])</f>
        <v/>
      </c>
      <c r="AO179" s="7" t="n">
        <v>150974</v>
      </c>
      <c r="AP179" s="64">
        <f>SUM(Tabela2[[#This Row],[Nota de Prioridade Quantitativa(NOTAS: 1 PIOR NOTA; 5 MELHOR NOTA)]],Tabela2[[#This Row],[Nota de Prioridade Qualitativa(NOTAS: 1 PIOR NOTA;  5 MELHOR NOTA)]])</f>
        <v/>
      </c>
      <c r="AQ179" s="7" t="n"/>
      <c r="AR179" s="64">
        <f>SUM(Tabela2[[#This Row],[Nota de Prioridade Quantitativa(NOTAS: 1 PIOR NOTA; 5 MELHOR NOTA)]],Tabela2[[#This Row],[Nota de Prioridade Qualitativa(NOTAS: 1 PIOR NOTA;  5 MELHOR NOTA)]])</f>
        <v/>
      </c>
      <c r="AS179" s="7" t="n"/>
      <c r="AZ179" s="20">
        <f t="array" ref="AZ179">StatusCarga(G179,H179,J179,K179)</f>
        <v/>
      </c>
      <c r="BA179" s="20">
        <f>IF(AZ179="CONFORME","CONFORME ✓","NÃO CONFORME ✗")</f>
        <v/>
      </c>
      <c r="BB179" t="n">
        <v>0</v>
      </c>
      <c r="BC179" t="n">
        <v>60</v>
      </c>
      <c r="BD179" t="n">
        <v>0</v>
      </c>
      <c r="BE179" t="n">
        <v>0</v>
      </c>
      <c r="BF179" t="inlineStr">
        <is>
          <t>CONFORME</t>
        </is>
      </c>
    </row>
    <row r="180" hidden="1" ht="21.75" customHeight="1" thickBot="1">
      <c r="A180" s="77" t="inlineStr">
        <is>
          <t>Mariana</t>
        </is>
      </c>
      <c r="B180" s="77" t="inlineStr">
        <is>
          <t>Fazendão</t>
        </is>
      </c>
      <c r="C180" s="80" t="inlineStr">
        <is>
          <t>PF1123</t>
        </is>
      </c>
      <c r="D180" s="80" t="inlineStr">
        <is>
          <t>AFEX</t>
        </is>
      </c>
      <c r="E180" s="78" t="inlineStr">
        <is>
          <t>CATERPILLAR</t>
        </is>
      </c>
      <c r="F180" s="80" t="inlineStr">
        <is>
          <t>CAT MD6240</t>
        </is>
      </c>
      <c r="G180" s="81">
        <f>IFERROR(IF(F180=$AB$2,"",VLOOKUP(F180,'DATASHEET EQUIPAMENTOS'!D:N,2,FALSE)),"")</f>
        <v/>
      </c>
      <c r="H180" s="82" t="inlineStr">
        <is>
          <t>3x30lbs</t>
        </is>
      </c>
      <c r="I180" s="57">
        <f>_xlfn.XLOOKUP(Tabela2[[#This Row],[Modelo]],'DATASHEET EQUIPAMENTOS'!D:D,'DATASHEET EQUIPAMENTOS'!P:P,"",0,1)</f>
        <v/>
      </c>
      <c r="J180" s="81">
        <f>IF(F180=$Z$2,"",VLOOKUP(F180,'DATASHEET EQUIPAMENTOS'!D:N,3,FALSE))</f>
        <v/>
      </c>
      <c r="K180" s="85" t="n">
        <v>0</v>
      </c>
      <c r="L180" s="95">
        <f>IF(AZ180="CONFORME","CONFORME ✓","NÃO CONFORME ✗")</f>
        <v/>
      </c>
      <c r="M180" s="102">
        <f>IF(F180=$Z$2,"",VLOOKUP(F180,'DATASHEET EQUIPAMENTOS'!D:N,4,FALSE))</f>
        <v/>
      </c>
      <c r="N180" s="108" t="n"/>
      <c r="O180" s="102">
        <f>IF(F180=$Z$2,"",VLOOKUP(F180,'DATASHEET EQUIPAMENTOS'!D:N,5,FALSE))</f>
        <v/>
      </c>
      <c r="P180" s="103" t="n"/>
      <c r="Q180" s="102">
        <f>IF(F180=$Z$2,"",VLOOKUP(F180,'DATASHEET EQUIPAMENTOS'!D:N,6,FALSE))</f>
        <v/>
      </c>
      <c r="R180" s="104" t="n"/>
      <c r="S180" s="95">
        <f>IF(Tabela2[[#This Row],[Instalado Sensor Motor]]="Linear","CONFORME ✓",IF(SUM(M180,O180,Q180)&lt;SUM(N180,P180,R180),"CONFORME ✓",IF(SUM(M180,O180,Q180)=SUM(N180,P180,R180),"CONFORME ✓","NÃO CONFORME ✗")))</f>
        <v/>
      </c>
      <c r="T180" s="91">
        <f>IF(F180=$Z$2,"",VLOOKUP(F180,'DATASHEET EQUIPAMENTOS'!D:N,7,FALSE))</f>
        <v/>
      </c>
      <c r="U180" s="57" t="n">
        <v>12</v>
      </c>
      <c r="V180" s="56">
        <f>IF(F180=$Z$2,"",VLOOKUP(F180,'DATASHEET EQUIPAMENTOS'!D:N,8,FALSE))</f>
        <v/>
      </c>
      <c r="W180" s="57" t="n">
        <v>6</v>
      </c>
      <c r="X180" s="56">
        <f>IF(F180=$Z$2,"",VLOOKUP(F180,'DATASHEET EQUIPAMENTOS'!D:N,9,FALSE))</f>
        <v/>
      </c>
      <c r="Y180" s="57" t="n"/>
      <c r="Z180" s="57">
        <f>IF(SUM(T180,V180,X180)&lt;=SUM(U180,W180,Y180),"CONFORME ✓",IF(SUM(T180,V180,X180)&gt;SUM(U180,W180,Y180),"NÃO CONFORME ✗"))</f>
        <v/>
      </c>
      <c r="AA180" s="56">
        <f>IF(F180=$Z$2,"",VLOOKUP(F180,'DATASHEET EQUIPAMENTOS'!D:N,10,FALSE))</f>
        <v/>
      </c>
      <c r="AB180" s="57" t="n"/>
      <c r="AC180" s="56">
        <f>IF(F180=$Z$2,"",VLOOKUP(F180,'DATASHEET EQUIPAMENTOS'!D:N,11,FALSE))</f>
        <v/>
      </c>
      <c r="AD180" s="57" t="n"/>
      <c r="AE180" s="56">
        <f>IF(F180=$Z$2,"",VLOOKUP(F180,'DATASHEET EQUIPAMENTOS'!D:O,12,FALSE))</f>
        <v/>
      </c>
      <c r="AF180" s="57" t="n"/>
      <c r="AG180" s="57">
        <f>IF(SUM(AA180,AC180,AE180)&lt;=SUM(AB180,AD180,AF180),"CONFORME ✓",IF(SUM(AA180,AC180,AE180)&gt;SUM(AB180,AD180,AF180),"NÃO CONFORME ✗"))</f>
        <v/>
      </c>
      <c r="AH180" s="72" t="n"/>
      <c r="AI180" s="72" t="n"/>
      <c r="AJ180" s="72" t="n"/>
      <c r="AK180" s="7" t="inlineStr">
        <is>
          <t>OK</t>
        </is>
      </c>
      <c r="AL180" s="58">
        <f>IFERROR(CALCULOS!H175,"NECESSÁRIO REVISAR DATASHEET")</f>
        <v/>
      </c>
      <c r="AM18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0" s="64">
        <f>SUM(Tabela2[[#This Row],[Nota de Prioridade Quantitativa(NOTAS: 1 PIOR NOTA; 5 MELHOR NOTA)]],Tabela2[[#This Row],[Nota de Prioridade Qualitativa(NOTAS: 1 PIOR NOTA;  5 MELHOR NOTA)]])</f>
        <v/>
      </c>
      <c r="AO180" s="7" t="n">
        <v>149292</v>
      </c>
      <c r="AP180" s="64">
        <f>SUM(Tabela2[[#This Row],[Nota de Prioridade Quantitativa(NOTAS: 1 PIOR NOTA; 5 MELHOR NOTA)]],Tabela2[[#This Row],[Nota de Prioridade Qualitativa(NOTAS: 1 PIOR NOTA;  5 MELHOR NOTA)]])</f>
        <v/>
      </c>
      <c r="AQ180" s="7" t="n"/>
      <c r="AR180" s="64">
        <f>SUM(Tabela2[[#This Row],[Nota de Prioridade Quantitativa(NOTAS: 1 PIOR NOTA; 5 MELHOR NOTA)]],Tabela2[[#This Row],[Nota de Prioridade Qualitativa(NOTAS: 1 PIOR NOTA;  5 MELHOR NOTA)]])</f>
        <v/>
      </c>
      <c r="AS180" s="7" t="n"/>
      <c r="AZ180" s="20">
        <f t="array" ref="AZ180">StatusCarga(G180,H180,J180,K180)</f>
        <v/>
      </c>
      <c r="BA180" s="20">
        <f>IF(AZ180="CONFORME","CONFORME ✓","NÃO CONFORME ✗")</f>
        <v/>
      </c>
      <c r="BB180" t="n">
        <v>0</v>
      </c>
      <c r="BC180" t="n">
        <v>90</v>
      </c>
      <c r="BD180" t="n">
        <v>0</v>
      </c>
      <c r="BE180" t="n">
        <v>0</v>
      </c>
      <c r="BF180" t="inlineStr">
        <is>
          <t>CONFORME</t>
        </is>
      </c>
    </row>
    <row r="181" hidden="1" ht="21.75" customHeight="1" thickBot="1">
      <c r="A181" s="77" t="inlineStr">
        <is>
          <t>Mariana</t>
        </is>
      </c>
      <c r="B181" s="77" t="inlineStr">
        <is>
          <t>Fazendão</t>
        </is>
      </c>
      <c r="C181" s="80" t="inlineStr">
        <is>
          <t>PM6528</t>
        </is>
      </c>
      <c r="D181" s="80" t="inlineStr">
        <is>
          <t>AFEX</t>
        </is>
      </c>
      <c r="E181" s="78" t="inlineStr">
        <is>
          <t>CATERPILLAR</t>
        </is>
      </c>
      <c r="F181" s="80" t="inlineStr">
        <is>
          <t>CAT 990H</t>
        </is>
      </c>
      <c r="G181" s="81">
        <f>IFERROR(IF(F181=$AB$2,"",VLOOKUP(F181,'DATASHEET EQUIPAMENTOS'!D:N,2,FALSE)),"")</f>
        <v/>
      </c>
      <c r="H181" s="82" t="inlineStr">
        <is>
          <t>3x30lbs</t>
        </is>
      </c>
      <c r="I181" s="57">
        <f>_xlfn.XLOOKUP(Tabela2[[#This Row],[Modelo]],'DATASHEET EQUIPAMENTOS'!D:D,'DATASHEET EQUIPAMENTOS'!P:P,"",0,1)</f>
        <v/>
      </c>
      <c r="J181" s="81">
        <f>IF(F181=$Z$2,"",VLOOKUP(F181,'DATASHEET EQUIPAMENTOS'!D:N,3,FALSE))</f>
        <v/>
      </c>
      <c r="K181" s="85" t="n">
        <v>0</v>
      </c>
      <c r="L181" s="95">
        <f>IF(AZ181="CONFORME","CONFORME ✓","NÃO CONFORME ✗")</f>
        <v/>
      </c>
      <c r="M181" s="119">
        <f>IF(F181=$Z$2,"",VLOOKUP(F181,'DATASHEET EQUIPAMENTOS'!D:N,4,FALSE))</f>
        <v/>
      </c>
      <c r="N181" s="99" t="n">
        <v>4</v>
      </c>
      <c r="O181" s="97">
        <f>IF(F181=$Z$2,"",VLOOKUP(F181,'DATASHEET EQUIPAMENTOS'!D:N,5,FALSE))</f>
        <v/>
      </c>
      <c r="P181" s="99" t="n">
        <v>2</v>
      </c>
      <c r="Q181" s="97">
        <f>IF(F181=$Z$2,"",VLOOKUP(F181,'DATASHEET EQUIPAMENTOS'!D:N,6,FALSE))</f>
        <v/>
      </c>
      <c r="R181" s="99" t="n">
        <v>1</v>
      </c>
      <c r="S181" s="100">
        <f>IF(Tabela2[[#This Row],[Instalado Sensor Motor]]="Linear","CONFORME ✓",IF(SUM(M181,O181,Q181)&lt;SUM(N181,P181,R181),"CONFORME ✓",IF(SUM(M181,O181,Q181)=SUM(N181,P181,R181),"CONFORME ✓","NÃO CONFORME ✗")))</f>
        <v/>
      </c>
      <c r="T181" s="91">
        <f>IF(F181=$Z$2,"",VLOOKUP(F181,'DATASHEET EQUIPAMENTOS'!D:N,7,FALSE))</f>
        <v/>
      </c>
      <c r="U181" s="62" t="n">
        <v>12</v>
      </c>
      <c r="V181" s="56">
        <f>IF(F181=$Z$2,"",VLOOKUP(F181,'DATASHEET EQUIPAMENTOS'!D:N,8,FALSE))</f>
        <v/>
      </c>
      <c r="W181" s="62" t="n">
        <v>3</v>
      </c>
      <c r="X181" s="56">
        <f>IF(F181=$Z$2,"",VLOOKUP(F181,'DATASHEET EQUIPAMENTOS'!D:N,9,FALSE))</f>
        <v/>
      </c>
      <c r="Y181" s="62" t="n">
        <v>3</v>
      </c>
      <c r="Z181" s="57">
        <f>IF(SUM(T181,V181,X181)&lt;=SUM(U181,W181,Y181),"CONFORME ✓",IF(SUM(T181,V181,X181)&gt;SUM(U181,W181,Y181),"NÃO CONFORME ✗"))</f>
        <v/>
      </c>
      <c r="AA181" s="56">
        <f>IF(F181=$Z$2,"",VLOOKUP(F181,'DATASHEET EQUIPAMENTOS'!D:N,10,FALSE))</f>
        <v/>
      </c>
      <c r="AB181" s="57" t="n"/>
      <c r="AC181" s="56">
        <f>IF(F181=$Z$2,"",VLOOKUP(F181,'DATASHEET EQUIPAMENTOS'!D:N,11,FALSE))</f>
        <v/>
      </c>
      <c r="AD181" s="57" t="n"/>
      <c r="AE181" s="56">
        <f>IF(F181=$Z$2,"",VLOOKUP(F181,'DATASHEET EQUIPAMENTOS'!D:O,12,FALSE))</f>
        <v/>
      </c>
      <c r="AF181" s="57" t="n"/>
      <c r="AG181" s="57">
        <f>IF(SUM(AA181,AC181,AE181)&lt;=SUM(AB181,AD181,AF181),"CONFORME ✓",IF(SUM(AA181,AC181,AE181)&gt;SUM(AB181,AD181,AF181),"NÃO CONFORME ✗"))</f>
        <v/>
      </c>
      <c r="AH181" s="72" t="n">
        <v>2.5</v>
      </c>
      <c r="AI181" s="72" t="n">
        <v>2.5</v>
      </c>
      <c r="AJ181" s="72" t="n">
        <v>2.5</v>
      </c>
      <c r="AK181" s="7" t="inlineStr">
        <is>
          <t>Reposicionar painel; Substituir as mangueiras e cabos dos sensores com nova rota e fixações.</t>
        </is>
      </c>
      <c r="AL181" s="58">
        <f>IFERROR(CALCULOS!H176,"NECESSÁRIO REVISAR DATASHEET")</f>
        <v/>
      </c>
      <c r="AM18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1" s="64">
        <f>SUM(Tabela2[[#This Row],[Nota de Prioridade Quantitativa(NOTAS: 1 PIOR NOTA; 5 MELHOR NOTA)]],Tabela2[[#This Row],[Nota de Prioridade Qualitativa(NOTAS: 1 PIOR NOTA;  5 MELHOR NOTA)]])</f>
        <v/>
      </c>
      <c r="AO181" s="7" t="n">
        <v>149285</v>
      </c>
      <c r="AP181" s="64">
        <f>SUM(Tabela2[[#This Row],[Nota de Prioridade Quantitativa(NOTAS: 1 PIOR NOTA; 5 MELHOR NOTA)]],Tabela2[[#This Row],[Nota de Prioridade Qualitativa(NOTAS: 1 PIOR NOTA;  5 MELHOR NOTA)]])</f>
        <v/>
      </c>
      <c r="AQ181" s="7" t="n"/>
      <c r="AR181" s="64">
        <f>SUM(Tabela2[[#This Row],[Nota de Prioridade Quantitativa(NOTAS: 1 PIOR NOTA; 5 MELHOR NOTA)]],Tabela2[[#This Row],[Nota de Prioridade Qualitativa(NOTAS: 1 PIOR NOTA;  5 MELHOR NOTA)]])</f>
        <v/>
      </c>
      <c r="AS181" s="7" t="n"/>
      <c r="AZ181" s="20">
        <f t="array" ref="AZ181">StatusCarga(G181,H181,J181,K181)</f>
        <v/>
      </c>
      <c r="BA181" s="20">
        <f>IF(AZ181="CONFORME","CONFORME ✓","NÃO CONFORME ✗")</f>
        <v/>
      </c>
      <c r="BB181" t="n">
        <v>0</v>
      </c>
      <c r="BC181" t="n">
        <v>90</v>
      </c>
      <c r="BD181" t="n">
        <v>0</v>
      </c>
      <c r="BE181" t="n">
        <v>0</v>
      </c>
      <c r="BF181" t="inlineStr">
        <is>
          <t>CONFORME</t>
        </is>
      </c>
    </row>
    <row r="182" hidden="1" ht="21.75" customHeight="1" thickBot="1">
      <c r="A182" s="77" t="inlineStr">
        <is>
          <t>Mariana</t>
        </is>
      </c>
      <c r="B182" s="77" t="inlineStr">
        <is>
          <t>Fazendão</t>
        </is>
      </c>
      <c r="C182" s="80" t="inlineStr">
        <is>
          <t>TP4989</t>
        </is>
      </c>
      <c r="D182" s="80" t="inlineStr">
        <is>
          <t>AFEX</t>
        </is>
      </c>
      <c r="E182" s="78" t="inlineStr">
        <is>
          <t>CATERPILLAR</t>
        </is>
      </c>
      <c r="F182" s="80" t="inlineStr">
        <is>
          <t>CAT 834H</t>
        </is>
      </c>
      <c r="G182" s="81">
        <f>IFERROR(IF(F182=$AB$2,"",VLOOKUP(F182,'DATASHEET EQUIPAMENTOS'!D:N,2,FALSE)),"")</f>
        <v/>
      </c>
      <c r="H182" s="82" t="inlineStr">
        <is>
          <t>2x30lbs</t>
        </is>
      </c>
      <c r="I182" s="57">
        <f>_xlfn.XLOOKUP(Tabela2[[#This Row],[Modelo]],'DATASHEET EQUIPAMENTOS'!D:D,'DATASHEET EQUIPAMENTOS'!P:P,"",0,1)</f>
        <v/>
      </c>
      <c r="J182" s="81">
        <f>IF(F182=$Z$2,"",VLOOKUP(F182,'DATASHEET EQUIPAMENTOS'!D:N,3,FALSE))</f>
        <v/>
      </c>
      <c r="K182" s="85" t="n">
        <v>0</v>
      </c>
      <c r="L182" s="95">
        <f>IF(AZ182="CONFORME","CONFORME ✓","NÃO CONFORME ✗")</f>
        <v/>
      </c>
      <c r="M182" s="102">
        <f>IF(F182=$Z$2,"",VLOOKUP(F182,'DATASHEET EQUIPAMENTOS'!D:N,4,FALSE))</f>
        <v/>
      </c>
      <c r="N182" s="108" t="n">
        <v>6</v>
      </c>
      <c r="O182" s="102">
        <f>IF(F182=$Z$2,"",VLOOKUP(F182,'DATASHEET EQUIPAMENTOS'!D:N,5,FALSE))</f>
        <v/>
      </c>
      <c r="P182" s="103" t="n">
        <v>2</v>
      </c>
      <c r="Q182" s="102">
        <f>IF(F182=$Z$2,"",VLOOKUP(F182,'DATASHEET EQUIPAMENTOS'!D:N,6,FALSE))</f>
        <v/>
      </c>
      <c r="R182" s="104" t="n"/>
      <c r="S182" s="95">
        <f>IF(Tabela2[[#This Row],[Instalado Sensor Motor]]="Linear","CONFORME ✓",IF(SUM(M182,O182,Q182)&lt;SUM(N182,P182,R182),"CONFORME ✓",IF(SUM(M182,O182,Q182)=SUM(N182,P182,R182),"CONFORME ✓","NÃO CONFORME ✗")))</f>
        <v/>
      </c>
      <c r="T182" s="91">
        <f>IF(F182=$Z$2,"",VLOOKUP(F182,'DATASHEET EQUIPAMENTOS'!D:N,7,FALSE))</f>
        <v/>
      </c>
      <c r="U182" s="57" t="n">
        <v>12</v>
      </c>
      <c r="V182" s="56">
        <f>IF(F182=$Z$2,"",VLOOKUP(F182,'DATASHEET EQUIPAMENTOS'!D:N,8,FALSE))</f>
        <v/>
      </c>
      <c r="W182" s="57" t="n">
        <v>6</v>
      </c>
      <c r="X182" s="56">
        <f>IF(F182=$Z$2,"",VLOOKUP(F182,'DATASHEET EQUIPAMENTOS'!D:N,9,FALSE))</f>
        <v/>
      </c>
      <c r="Y182" s="57" t="n"/>
      <c r="Z182" s="57">
        <f>IF(SUM(T182,V182,X182)&lt;=SUM(U182,W182,Y182),"CONFORME ✓",IF(SUM(T182,V182,X182)&gt;SUM(U182,W182,Y182),"NÃO CONFORME ✗"))</f>
        <v/>
      </c>
      <c r="AA182" s="56">
        <f>IF(F182=$Z$2,"",VLOOKUP(F182,'DATASHEET EQUIPAMENTOS'!D:N,10,FALSE))</f>
        <v/>
      </c>
      <c r="AB182" s="57" t="n"/>
      <c r="AC182" s="56">
        <f>IF(F182=$Z$2,"",VLOOKUP(F182,'DATASHEET EQUIPAMENTOS'!D:N,11,FALSE))</f>
        <v/>
      </c>
      <c r="AD182" s="57" t="n"/>
      <c r="AE182" s="56">
        <f>IF(F182=$Z$2,"",VLOOKUP(F182,'DATASHEET EQUIPAMENTOS'!D:O,12,FALSE))</f>
        <v/>
      </c>
      <c r="AF182" s="57" t="n"/>
      <c r="AG182" s="57">
        <f>IF(SUM(AA182,AC182,AE182)&lt;=SUM(AB182,AD182,AF182),"CONFORME ✓",IF(SUM(AA182,AC182,AE182)&gt;SUM(AB182,AD182,AF182),"NÃO CONFORME ✗"))</f>
        <v/>
      </c>
      <c r="AH182" s="72" t="n"/>
      <c r="AI182" s="72" t="n"/>
      <c r="AJ182" s="72" t="n"/>
      <c r="AK182" s="7" t="inlineStr">
        <is>
          <t>O EQUIPAMENTO TP4989 NÃO POSSUI SISTEMA DUALSHOT</t>
        </is>
      </c>
      <c r="AL182" s="58">
        <f>IFERROR(CALCULOS!H177,"NECESSÁRIO REVISAR DATASHEET")</f>
        <v/>
      </c>
      <c r="AM18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2" s="64">
        <f>SUM(Tabela2[[#This Row],[Nota de Prioridade Quantitativa(NOTAS: 1 PIOR NOTA; 5 MELHOR NOTA)]],Tabela2[[#This Row],[Nota de Prioridade Qualitativa(NOTAS: 1 PIOR NOTA;  5 MELHOR NOTA)]])</f>
        <v/>
      </c>
      <c r="AO182" s="7" t="n">
        <v>149280</v>
      </c>
      <c r="AP182" s="64">
        <f>SUM(Tabela2[[#This Row],[Nota de Prioridade Quantitativa(NOTAS: 1 PIOR NOTA; 5 MELHOR NOTA)]],Tabela2[[#This Row],[Nota de Prioridade Qualitativa(NOTAS: 1 PIOR NOTA;  5 MELHOR NOTA)]])</f>
        <v/>
      </c>
      <c r="AQ182" s="7" t="n"/>
      <c r="AR182" s="64">
        <f>SUM(Tabela2[[#This Row],[Nota de Prioridade Quantitativa(NOTAS: 1 PIOR NOTA; 5 MELHOR NOTA)]],Tabela2[[#This Row],[Nota de Prioridade Qualitativa(NOTAS: 1 PIOR NOTA;  5 MELHOR NOTA)]])</f>
        <v/>
      </c>
      <c r="AS182" s="7" t="n"/>
      <c r="AZ182" s="20">
        <f t="array" ref="AZ182">StatusCarga(G182,H182,J182,K182)</f>
        <v/>
      </c>
      <c r="BA182" s="20">
        <f>IF(AZ182="CONFORME","CONFORME ✓","NÃO CONFORME ✗")</f>
        <v/>
      </c>
      <c r="BB182" t="n">
        <v>0</v>
      </c>
      <c r="BC182" t="n">
        <v>60</v>
      </c>
      <c r="BD182" t="n">
        <v>0</v>
      </c>
      <c r="BE182" t="n">
        <v>0</v>
      </c>
      <c r="BF182" t="inlineStr">
        <is>
          <t>CONFORME</t>
        </is>
      </c>
    </row>
    <row r="183" hidden="1" ht="21.75" customHeight="1" thickBot="1">
      <c r="A183" s="77" t="inlineStr">
        <is>
          <t>VGR</t>
        </is>
      </c>
      <c r="B183" s="77" t="inlineStr">
        <is>
          <t>Tamanduá</t>
        </is>
      </c>
      <c r="C183" s="80" t="inlineStr">
        <is>
          <t>PM4350</t>
        </is>
      </c>
      <c r="D183" s="80" t="inlineStr">
        <is>
          <t>AFEX</t>
        </is>
      </c>
      <c r="E183" s="78" t="inlineStr">
        <is>
          <t>CATERPILLAR</t>
        </is>
      </c>
      <c r="F183" s="80" t="inlineStr">
        <is>
          <t>CAT 980L</t>
        </is>
      </c>
      <c r="G183" s="81">
        <f>IFERROR(IF(F183=$AB$2,"",VLOOKUP(F183,'DATASHEET EQUIPAMENTOS'!D:N,2,FALSE)),"")</f>
        <v/>
      </c>
      <c r="H183" s="82" t="inlineStr">
        <is>
          <t>1x60lbs</t>
        </is>
      </c>
      <c r="I183" s="57">
        <f>_xlfn.XLOOKUP(Tabela2[[#This Row],[Modelo]],'DATASHEET EQUIPAMENTOS'!D:D,'DATASHEET EQUIPAMENTOS'!P:P,"",0,1)</f>
        <v/>
      </c>
      <c r="J183" s="81">
        <f>IF(F183=$Z$2,"",VLOOKUP(F183,'DATASHEET EQUIPAMENTOS'!D:N,3,FALSE))</f>
        <v/>
      </c>
      <c r="K183" s="85" t="n">
        <v>0</v>
      </c>
      <c r="L183" s="95">
        <f>IF(AZ183="CONFORME","CONFORME ✓","NÃO CONFORME ✗")</f>
        <v/>
      </c>
      <c r="M183" s="102">
        <f>IF(F183=$Z$2,"",VLOOKUP(F183,'DATASHEET EQUIPAMENTOS'!D:N,4,FALSE))</f>
        <v/>
      </c>
      <c r="N183" s="108" t="n">
        <v>4</v>
      </c>
      <c r="O183" s="102">
        <f>IF(F183=$Z$2,"",VLOOKUP(F183,'DATASHEET EQUIPAMENTOS'!D:N,5,FALSE))</f>
        <v/>
      </c>
      <c r="P183" s="103" t="n">
        <v>0</v>
      </c>
      <c r="Q183" s="102">
        <f>IF(F183=$Z$2,"",VLOOKUP(F183,'DATASHEET EQUIPAMENTOS'!D:N,6,FALSE))</f>
        <v/>
      </c>
      <c r="R183" s="104" t="n">
        <v>0</v>
      </c>
      <c r="S183" s="95">
        <f>IF(Tabela2[[#This Row],[Instalado Sensor Motor]]="Linear","CONFORME ✓",IF(SUM(M183,O183,Q183)&lt;SUM(N183,P183,R183),"CONFORME ✓",IF(SUM(M183,O183,Q183)=SUM(N183,P183,R183),"CONFORME ✓","NÃO CONFORME ✗")))</f>
        <v/>
      </c>
      <c r="T183" s="91">
        <f>IF(F183=$Z$2,"",VLOOKUP(F183,'DATASHEET EQUIPAMENTOS'!D:N,7,FALSE))</f>
        <v/>
      </c>
      <c r="U183" s="57" t="n">
        <v>6</v>
      </c>
      <c r="V183" s="56">
        <f>IF(F183=$Z$2,"",VLOOKUP(F183,'DATASHEET EQUIPAMENTOS'!D:N,8,FALSE))</f>
        <v/>
      </c>
      <c r="W183" s="57" t="n">
        <v>6</v>
      </c>
      <c r="X183" s="56">
        <f>IF(F183=$Z$2,"",VLOOKUP(F183,'DATASHEET EQUIPAMENTOS'!D:N,9,FALSE))</f>
        <v/>
      </c>
      <c r="Y183" s="57" t="n">
        <v>0</v>
      </c>
      <c r="Z183" s="57">
        <f>IF(SUM(T183,V183,X183)&lt;=SUM(U183,W183,Y183),"CONFORME ✓",IF(SUM(T183,V183,X183)&gt;SUM(U183,W183,Y183),"NÃO CONFORME ✗"))</f>
        <v/>
      </c>
      <c r="AA183" s="56">
        <f>IF(F183=$Z$2,"",VLOOKUP(F183,'DATASHEET EQUIPAMENTOS'!D:N,10,FALSE))</f>
        <v/>
      </c>
      <c r="AB183" s="57" t="n">
        <v>0</v>
      </c>
      <c r="AC183" s="56">
        <f>IF(F183=$Z$2,"",VLOOKUP(F183,'DATASHEET EQUIPAMENTOS'!D:N,11,FALSE))</f>
        <v/>
      </c>
      <c r="AD183" s="57" t="n">
        <v>0</v>
      </c>
      <c r="AE183" s="56">
        <f>IF(F183=$Z$2,"",VLOOKUP(F183,'DATASHEET EQUIPAMENTOS'!D:O,12,FALSE))</f>
        <v/>
      </c>
      <c r="AF183" s="57" t="n">
        <v>0</v>
      </c>
      <c r="AG183" s="57">
        <f>IF(SUM(AA183,AC183,AE183)&lt;=SUM(AB183,AD183,AF183),"CONFORME ✓",IF(SUM(AA183,AC183,AE183)&gt;SUM(AB183,AD183,AF183),"NÃO CONFORME ✗"))</f>
        <v/>
      </c>
      <c r="AH183" s="72" t="n">
        <v>3</v>
      </c>
      <c r="AI183" s="72" t="n">
        <v>3</v>
      </c>
      <c r="AJ183" s="72" t="n">
        <v>2</v>
      </c>
      <c r="AK183" s="7" t="inlineStr">
        <is>
          <t>NAO TEM CILINDRO DE LIQUIDO E NEM BICOS DIFUSORES DE LIQUIDO</t>
        </is>
      </c>
      <c r="AL183" s="58">
        <f>IFERROR(CALCULOS!H178,"NECESSÁRIO REVISAR DATASHEET")</f>
        <v/>
      </c>
      <c r="AM18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3" s="64">
        <f>SUM(Tabela2[[#This Row],[Nota de Prioridade Quantitativa(NOTAS: 1 PIOR NOTA; 5 MELHOR NOTA)]],Tabela2[[#This Row],[Nota de Prioridade Qualitativa(NOTAS: 1 PIOR NOTA;  5 MELHOR NOTA)]])</f>
        <v/>
      </c>
      <c r="AO183" s="7" t="n">
        <v>149226</v>
      </c>
      <c r="AP183" s="64">
        <f>SUM(Tabela2[[#This Row],[Nota de Prioridade Quantitativa(NOTAS: 1 PIOR NOTA; 5 MELHOR NOTA)]],Tabela2[[#This Row],[Nota de Prioridade Qualitativa(NOTAS: 1 PIOR NOTA;  5 MELHOR NOTA)]])</f>
        <v/>
      </c>
      <c r="AQ183" s="7" t="inlineStr">
        <is>
          <t>Qualificado por Rennan</t>
        </is>
      </c>
      <c r="AR183" s="64">
        <f>SUM(Tabela2[[#This Row],[Nota de Prioridade Quantitativa(NOTAS: 1 PIOR NOTA; 5 MELHOR NOTA)]],Tabela2[[#This Row],[Nota de Prioridade Qualitativa(NOTAS: 1 PIOR NOTA;  5 MELHOR NOTA)]])</f>
        <v/>
      </c>
      <c r="AS183" s="7" t="n"/>
      <c r="AZ183" s="20">
        <f t="array" ref="AZ183">StatusCarga(G183,H183,J183,K183)</f>
        <v/>
      </c>
      <c r="BA183" s="20">
        <f>IF(AZ183="CONFORME","CONFORME ✓","NÃO CONFORME ✗")</f>
        <v/>
      </c>
      <c r="BB183" t="n">
        <v>0</v>
      </c>
      <c r="BC183" t="n">
        <v>60</v>
      </c>
      <c r="BD183" t="n">
        <v>0</v>
      </c>
      <c r="BE183" t="n">
        <v>0</v>
      </c>
      <c r="BF183" t="inlineStr">
        <is>
          <t>CONFORME</t>
        </is>
      </c>
    </row>
    <row r="184" hidden="1" ht="21.75" customHeight="1" thickBot="1">
      <c r="A184" s="77" t="inlineStr">
        <is>
          <t>Paraoupeba</t>
        </is>
      </c>
      <c r="B184" s="77" t="inlineStr">
        <is>
          <t>Mar azul</t>
        </is>
      </c>
      <c r="C184" s="80" t="inlineStr">
        <is>
          <t>MT2604</t>
        </is>
      </c>
      <c r="D184" s="80" t="inlineStr">
        <is>
          <t>AFEX</t>
        </is>
      </c>
      <c r="E184" s="80" t="inlineStr">
        <is>
          <t>MANITOU</t>
        </is>
      </c>
      <c r="F184" s="80" t="inlineStr">
        <is>
          <t>MHT-X 10180</t>
        </is>
      </c>
      <c r="G184" s="81">
        <f>IFERROR(IF(F184=$AB$2,"",VLOOKUP(F184,'DATASHEET EQUIPAMENTOS'!D:N,2,FALSE)),"")</f>
        <v/>
      </c>
      <c r="H184" s="82" t="inlineStr">
        <is>
          <t>1x30lbs</t>
        </is>
      </c>
      <c r="I184" s="57">
        <f>_xlfn.XLOOKUP(Tabela2[[#This Row],[Modelo]],'DATASHEET EQUIPAMENTOS'!D:D,'DATASHEET EQUIPAMENTOS'!P:P,"",0,1)</f>
        <v/>
      </c>
      <c r="J184" s="81">
        <f>IF(F184=$Z$2,"",VLOOKUP(F184,'DATASHEET EQUIPAMENTOS'!D:N,3,FALSE))</f>
        <v/>
      </c>
      <c r="K184" s="85" t="inlineStr">
        <is>
          <t>1x5gal</t>
        </is>
      </c>
      <c r="L184" s="95">
        <f>IF(AZ184="CONFORME","CONFORME ✓","NÃO CONFORME ✗")</f>
        <v/>
      </c>
      <c r="M184" s="102">
        <f>IF(F184=$Z$2,"",VLOOKUP(F184,'DATASHEET EQUIPAMENTOS'!D:N,4,FALSE))</f>
        <v/>
      </c>
      <c r="N184" s="108" t="n">
        <v>3</v>
      </c>
      <c r="O184" s="102">
        <f>IF(F184=$Z$2,"",VLOOKUP(F184,'DATASHEET EQUIPAMENTOS'!D:N,5,FALSE))</f>
        <v/>
      </c>
      <c r="P184" s="103" t="n">
        <v>3</v>
      </c>
      <c r="Q184" s="102">
        <f>IF(F184=$Z$2,"",VLOOKUP(F184,'DATASHEET EQUIPAMENTOS'!D:N,6,FALSE))</f>
        <v/>
      </c>
      <c r="R184" s="104" t="n">
        <v>3</v>
      </c>
      <c r="S184" s="95">
        <f>IF(Tabela2[[#This Row],[Instalado Sensor Motor]]="Linear","CONFORME ✓",IF(SUM(M184,O184,Q184)&lt;SUM(N184,P184,R184),"CONFORME ✓",IF(SUM(M184,O184,Q184)=SUM(N184,P184,R184),"CONFORME ✓","NÃO CONFORME ✗")))</f>
        <v/>
      </c>
      <c r="T184" s="91">
        <f>IF(F184=$Z$2,"",VLOOKUP(F184,'DATASHEET EQUIPAMENTOS'!D:N,7,FALSE))</f>
        <v/>
      </c>
      <c r="U184" s="57" t="n">
        <v>5</v>
      </c>
      <c r="V184" s="56">
        <f>IF(F184=$Z$2,"",VLOOKUP(F184,'DATASHEET EQUIPAMENTOS'!D:N,8,FALSE))</f>
        <v/>
      </c>
      <c r="W184" s="57" t="n">
        <v>5</v>
      </c>
      <c r="X184" s="56">
        <f>IF(F184=$Z$2,"",VLOOKUP(F184,'DATASHEET EQUIPAMENTOS'!D:N,9,FALSE))</f>
        <v/>
      </c>
      <c r="Y184" s="57" t="n">
        <v>2</v>
      </c>
      <c r="Z184" s="57">
        <f>IF(SUM(T184,V184,X184)&lt;=SUM(U184,W184,Y184),"CONFORME ✓",IF(SUM(T184,V184,X184)&gt;SUM(U184,W184,Y184),"NÃO CONFORME ✗"))</f>
        <v/>
      </c>
      <c r="AA184" s="56">
        <f>IF(F184=$Z$2,"",VLOOKUP(F184,'DATASHEET EQUIPAMENTOS'!D:N,10,FALSE))</f>
        <v/>
      </c>
      <c r="AB184" s="57" t="n">
        <v>5</v>
      </c>
      <c r="AC184" s="56">
        <f>IF(F184=$Z$2,"",VLOOKUP(F184,'DATASHEET EQUIPAMENTOS'!D:N,11,FALSE))</f>
        <v/>
      </c>
      <c r="AD184" s="57" t="n">
        <v>2</v>
      </c>
      <c r="AE184" s="56">
        <f>IF(F184=$Z$2,"",VLOOKUP(F184,'DATASHEET EQUIPAMENTOS'!D:O,12,FALSE))</f>
        <v/>
      </c>
      <c r="AF184" s="57" t="n">
        <v>2</v>
      </c>
      <c r="AG184" s="57">
        <f>IF(SUM(AA184,AC184,AE184)&lt;=SUM(AB184,AD184,AF184),"CONFORME ✓",IF(SUM(AA184,AC184,AE184)&gt;SUM(AB184,AD184,AF184),"NÃO CONFORME ✗"))</f>
        <v/>
      </c>
      <c r="AH184" s="72" t="n"/>
      <c r="AI184" s="72" t="n"/>
      <c r="AJ184" s="72" t="n"/>
      <c r="AK184" s="7" t="inlineStr">
        <is>
          <t>ACIONADOR REMOTO SEM AMPOLA</t>
        </is>
      </c>
      <c r="AL184" s="58">
        <f>IFERROR(CALCULOS!H179,"NECESSÁRIO REVISAR DATASHEET")</f>
        <v/>
      </c>
      <c r="AM18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4" s="64">
        <f>SUM(Tabela2[[#This Row],[Nota de Prioridade Quantitativa(NOTAS: 1 PIOR NOTA; 5 MELHOR NOTA)]],Tabela2[[#This Row],[Nota de Prioridade Qualitativa(NOTAS: 1 PIOR NOTA;  5 MELHOR NOTA)]])</f>
        <v/>
      </c>
      <c r="AO184" s="7" t="n">
        <v>152668</v>
      </c>
      <c r="AP184" s="64">
        <f>SUM(Tabela2[[#This Row],[Nota de Prioridade Quantitativa(NOTAS: 1 PIOR NOTA; 5 MELHOR NOTA)]],Tabela2[[#This Row],[Nota de Prioridade Qualitativa(NOTAS: 1 PIOR NOTA;  5 MELHOR NOTA)]])</f>
        <v/>
      </c>
      <c r="AQ184" s="7" t="n"/>
      <c r="AR184" s="64">
        <f>SUM(Tabela2[[#This Row],[Nota de Prioridade Quantitativa(NOTAS: 1 PIOR NOTA; 5 MELHOR NOTA)]],Tabela2[[#This Row],[Nota de Prioridade Qualitativa(NOTAS: 1 PIOR NOTA;  5 MELHOR NOTA)]])</f>
        <v/>
      </c>
      <c r="AS184" s="7" t="n"/>
      <c r="AZ184" s="20">
        <f t="array" ref="AZ184">StatusCarga(G184,H184,J184,K184)</f>
        <v/>
      </c>
      <c r="BA184" s="20">
        <f>IF(AZ184="CONFORME","CONFORME ✓","NÃO CONFORME ✗")</f>
        <v/>
      </c>
      <c r="BB184" t="n">
        <v>0</v>
      </c>
      <c r="BC184" t="n">
        <v>30</v>
      </c>
      <c r="BD184" t="n">
        <v>0</v>
      </c>
      <c r="BE184" t="n">
        <v>5</v>
      </c>
      <c r="BF184" t="inlineStr">
        <is>
          <t>CONFORME</t>
        </is>
      </c>
    </row>
    <row r="185" hidden="1" ht="21.75" customHeight="1" thickBot="1">
      <c r="A185" s="77" t="inlineStr">
        <is>
          <t>VGR</t>
        </is>
      </c>
      <c r="B185" s="77" t="inlineStr">
        <is>
          <t>Tamanduá</t>
        </is>
      </c>
      <c r="C185" s="80" t="inlineStr">
        <is>
          <t>EM2505</t>
        </is>
      </c>
      <c r="D185" s="80" t="inlineStr">
        <is>
          <t>AFEX</t>
        </is>
      </c>
      <c r="E185" s="78" t="inlineStr">
        <is>
          <t>KOMATSU</t>
        </is>
      </c>
      <c r="F185" s="80" t="inlineStr">
        <is>
          <t>KOMATSU PC1250</t>
        </is>
      </c>
      <c r="G185" s="81">
        <f>IFERROR(IF(F185=$AB$2,"",VLOOKUP(F185,'DATASHEET EQUIPAMENTOS'!D:N,2,FALSE)),"")</f>
        <v/>
      </c>
      <c r="H185" s="82" t="inlineStr">
        <is>
          <t>2x60lbs</t>
        </is>
      </c>
      <c r="I185" s="57">
        <f>_xlfn.XLOOKUP(Tabela2[[#This Row],[Modelo]],'DATASHEET EQUIPAMENTOS'!D:D,'DATASHEET EQUIPAMENTOS'!P:P,"",0,1)</f>
        <v/>
      </c>
      <c r="J185" s="81">
        <f>IF(F185=$Z$2,"",VLOOKUP(F185,'DATASHEET EQUIPAMENTOS'!D:N,3,FALSE))</f>
        <v/>
      </c>
      <c r="K185" s="85" t="inlineStr">
        <is>
          <t>2x5gal</t>
        </is>
      </c>
      <c r="L185" s="95">
        <f>IF(AZ185="CONFORME","CONFORME ✓","NÃO CONFORME ✗")</f>
        <v/>
      </c>
      <c r="M185" s="102">
        <f>IF(F185=$Z$2,"",VLOOKUP(F185,'DATASHEET EQUIPAMENTOS'!D:N,4,FALSE))</f>
        <v/>
      </c>
      <c r="N185" s="108" t="n">
        <v>5</v>
      </c>
      <c r="O185" s="102">
        <f>IF(F185=$Z$2,"",VLOOKUP(F185,'DATASHEET EQUIPAMENTOS'!D:N,5,FALSE))</f>
        <v/>
      </c>
      <c r="P185" s="103" t="n">
        <v>2</v>
      </c>
      <c r="Q185" s="102">
        <f>IF(F185=$Z$2,"",VLOOKUP(F185,'DATASHEET EQUIPAMENTOS'!D:N,6,FALSE))</f>
        <v/>
      </c>
      <c r="R185" s="104" t="n">
        <v>2</v>
      </c>
      <c r="S185" s="95">
        <f>IF(Tabela2[[#This Row],[Instalado Sensor Motor]]="Linear","CONFORME ✓",IF(SUM(M185,O185,Q185)&lt;SUM(N185,P185,R185),"CONFORME ✓",IF(SUM(M185,O185,Q185)=SUM(N185,P185,R185),"CONFORME ✓","NÃO CONFORME ✗")))</f>
        <v/>
      </c>
      <c r="T185" s="91">
        <f>IF(F185=$Z$2,"",VLOOKUP(F185,'DATASHEET EQUIPAMENTOS'!D:N,7,FALSE))</f>
        <v/>
      </c>
      <c r="U185" s="57" t="n">
        <v>12</v>
      </c>
      <c r="V185" s="56">
        <f>IF(F185=$Z$2,"",VLOOKUP(F185,'DATASHEET EQUIPAMENTOS'!D:N,8,FALSE))</f>
        <v/>
      </c>
      <c r="W185" s="57" t="n">
        <v>6</v>
      </c>
      <c r="X185" s="56">
        <f>IF(F185=$Z$2,"",VLOOKUP(F185,'DATASHEET EQUIPAMENTOS'!D:N,9,FALSE))</f>
        <v/>
      </c>
      <c r="Y185" s="57" t="n">
        <v>6</v>
      </c>
      <c r="Z185" s="57">
        <f>IF(SUM(T185,V185,X185)&lt;=SUM(U185,W185,Y185),"CONFORME ✓",IF(SUM(T185,V185,X185)&gt;SUM(U185,W185,Y185),"NÃO CONFORME ✗"))</f>
        <v/>
      </c>
      <c r="AA185" s="56">
        <f>IF(F185=$Z$2,"",VLOOKUP(F185,'DATASHEET EQUIPAMENTOS'!D:N,10,FALSE))</f>
        <v/>
      </c>
      <c r="AB185" s="57" t="n">
        <v>4</v>
      </c>
      <c r="AC185" s="56">
        <f>IF(F185=$Z$2,"",VLOOKUP(F185,'DATASHEET EQUIPAMENTOS'!D:N,11,FALSE))</f>
        <v/>
      </c>
      <c r="AD185" s="57" t="n">
        <v>4</v>
      </c>
      <c r="AE185" s="56">
        <f>IF(F185=$Z$2,"",VLOOKUP(F185,'DATASHEET EQUIPAMENTOS'!D:O,12,FALSE))</f>
        <v/>
      </c>
      <c r="AF185" s="57" t="n">
        <v>0</v>
      </c>
      <c r="AG185" s="57">
        <f>IF(SUM(AA185,AC185,AE185)&lt;=SUM(AB185,AD185,AF185),"CONFORME ✓",IF(SUM(AA185,AC185,AE185)&gt;SUM(AB185,AD185,AF185),"NÃO CONFORME ✗"))</f>
        <v/>
      </c>
      <c r="AH185" s="72" t="n"/>
      <c r="AI185" s="72" t="n"/>
      <c r="AJ185" s="72" t="n"/>
      <c r="AK185" s="7" t="inlineStr">
        <is>
          <t>NAO TEM BICOS DIFUSORES DE LIQUIDO NA PARTE HIDRÁULICA DO EQUIPAMENTO.</t>
        </is>
      </c>
      <c r="AL185" s="58">
        <f>IFERROR(CALCULOS!H180,"NECESSÁRIO REVISAR DATASHEET")</f>
        <v/>
      </c>
      <c r="AM18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5" s="64">
        <f>SUM(Tabela2[[#This Row],[Nota de Prioridade Quantitativa(NOTAS: 1 PIOR NOTA; 5 MELHOR NOTA)]],Tabela2[[#This Row],[Nota de Prioridade Qualitativa(NOTAS: 1 PIOR NOTA;  5 MELHOR NOTA)]])</f>
        <v/>
      </c>
      <c r="AO185" s="7" t="n">
        <v>149756</v>
      </c>
      <c r="AP185" s="64">
        <f>SUM(Tabela2[[#This Row],[Nota de Prioridade Quantitativa(NOTAS: 1 PIOR NOTA; 5 MELHOR NOTA)]],Tabela2[[#This Row],[Nota de Prioridade Qualitativa(NOTAS: 1 PIOR NOTA;  5 MELHOR NOTA)]])</f>
        <v/>
      </c>
      <c r="AQ185" s="7" t="inlineStr">
        <is>
          <t>Qualificado por Rennan</t>
        </is>
      </c>
      <c r="AR185" s="64">
        <f>SUM(Tabela2[[#This Row],[Nota de Prioridade Quantitativa(NOTAS: 1 PIOR NOTA; 5 MELHOR NOTA)]],Tabela2[[#This Row],[Nota de Prioridade Qualitativa(NOTAS: 1 PIOR NOTA;  5 MELHOR NOTA)]])</f>
        <v/>
      </c>
      <c r="AS185" s="7" t="n"/>
      <c r="AZ185" s="20">
        <f t="array" ref="AZ185">StatusCarga(G185,H185,J185,K185)</f>
        <v/>
      </c>
      <c r="BA185" s="20">
        <f>IF(AZ185="CONFORME","CONFORME ✓","NÃO CONFORME ✗")</f>
        <v/>
      </c>
      <c r="BB185" t="n">
        <v>0</v>
      </c>
      <c r="BC185" t="n">
        <v>120</v>
      </c>
      <c r="BD185" t="n">
        <v>0</v>
      </c>
      <c r="BE185" t="n">
        <v>10</v>
      </c>
      <c r="BF185" t="inlineStr">
        <is>
          <t>CONFORME</t>
        </is>
      </c>
    </row>
    <row r="186" hidden="1" ht="21.75" customHeight="1" thickBot="1">
      <c r="A186" s="77" t="inlineStr">
        <is>
          <t>Mariana</t>
        </is>
      </c>
      <c r="B186" s="77" t="inlineStr">
        <is>
          <t>Fazendão</t>
        </is>
      </c>
      <c r="C186" s="80" t="inlineStr">
        <is>
          <t>PM6520</t>
        </is>
      </c>
      <c r="D186" s="80" t="inlineStr">
        <is>
          <t>AFEX</t>
        </is>
      </c>
      <c r="E186" s="78" t="inlineStr">
        <is>
          <t>CATERPILLAR</t>
        </is>
      </c>
      <c r="F186" s="80" t="inlineStr">
        <is>
          <t>CAT 990H</t>
        </is>
      </c>
      <c r="G186" s="81">
        <f>IFERROR(IF(F186=$AB$2,"",VLOOKUP(F186,'DATASHEET EQUIPAMENTOS'!D:N,2,FALSE)),"")</f>
        <v/>
      </c>
      <c r="H186" s="82" t="inlineStr">
        <is>
          <t>3x30lbs</t>
        </is>
      </c>
      <c r="I186" s="57">
        <f>_xlfn.XLOOKUP(Tabela2[[#This Row],[Modelo]],'DATASHEET EQUIPAMENTOS'!D:D,'DATASHEET EQUIPAMENTOS'!P:P,"",0,1)</f>
        <v/>
      </c>
      <c r="J186" s="81">
        <f>IF(F186=$Z$2,"",VLOOKUP(F186,'DATASHEET EQUIPAMENTOS'!D:N,3,FALSE))</f>
        <v/>
      </c>
      <c r="K186" s="85" t="n">
        <v>0</v>
      </c>
      <c r="L186" s="95">
        <f>IF(AZ186="CONFORME","CONFORME ✓","NÃO CONFORME ✗")</f>
        <v/>
      </c>
      <c r="M186" s="102">
        <f>IF(F186=$Z$2,"",VLOOKUP(F186,'DATASHEET EQUIPAMENTOS'!D:N,4,FALSE))</f>
        <v/>
      </c>
      <c r="N186" s="108" t="n">
        <v>4</v>
      </c>
      <c r="O186" s="102">
        <f>IF(F186=$Z$2,"",VLOOKUP(F186,'DATASHEET EQUIPAMENTOS'!D:N,5,FALSE))</f>
        <v/>
      </c>
      <c r="P186" s="103" t="n">
        <v>3</v>
      </c>
      <c r="Q186" s="102">
        <f>IF(F186=$Z$2,"",VLOOKUP(F186,'DATASHEET EQUIPAMENTOS'!D:N,6,FALSE))</f>
        <v/>
      </c>
      <c r="R186" s="104" t="n">
        <v>0</v>
      </c>
      <c r="S186" s="95">
        <f>IF(Tabela2[[#This Row],[Instalado Sensor Motor]]="Linear","CONFORME ✓",IF(SUM(M186,O186,Q186)&lt;SUM(N186,P186,R186),"CONFORME ✓",IF(SUM(M186,O186,Q186)=SUM(N186,P186,R186),"CONFORME ✓","NÃO CONFORME ✗")))</f>
        <v/>
      </c>
      <c r="T186" s="91">
        <f>IF(F186=$Z$2,"",VLOOKUP(F186,'DATASHEET EQUIPAMENTOS'!D:N,7,FALSE))</f>
        <v/>
      </c>
      <c r="U186" s="57" t="n">
        <v>12</v>
      </c>
      <c r="V186" s="56">
        <f>IF(F186=$Z$2,"",VLOOKUP(F186,'DATASHEET EQUIPAMENTOS'!D:N,8,FALSE))</f>
        <v/>
      </c>
      <c r="W186" s="62" t="n">
        <v>3</v>
      </c>
      <c r="X186" s="56">
        <f>IF(F186=$Z$2,"",VLOOKUP(F186,'DATASHEET EQUIPAMENTOS'!D:N,9,FALSE))</f>
        <v/>
      </c>
      <c r="Y186" s="62" t="n">
        <v>3</v>
      </c>
      <c r="Z186" s="57">
        <f>IF(SUM(T186,V186,X186)&lt;=SUM(U186,W186,Y186),"CONFORME ✓",IF(SUM(T186,V186,X186)&gt;SUM(U186,W186,Y186),"NÃO CONFORME ✗"))</f>
        <v/>
      </c>
      <c r="AA186" s="56">
        <f>IF(F186=$Z$2,"",VLOOKUP(F186,'DATASHEET EQUIPAMENTOS'!D:N,10,FALSE))</f>
        <v/>
      </c>
      <c r="AB186" s="57" t="n"/>
      <c r="AC186" s="56">
        <f>IF(F186=$Z$2,"",VLOOKUP(F186,'DATASHEET EQUIPAMENTOS'!D:N,11,FALSE))</f>
        <v/>
      </c>
      <c r="AD186" s="57" t="n"/>
      <c r="AE186" s="56">
        <f>IF(F186=$Z$2,"",VLOOKUP(F186,'DATASHEET EQUIPAMENTOS'!D:O,12,FALSE))</f>
        <v/>
      </c>
      <c r="AF186" s="57" t="n"/>
      <c r="AG186" s="57">
        <f>IF(SUM(AA186,AC186,AE186)&lt;=SUM(AB186,AD186,AF186),"CONFORME ✓",IF(SUM(AA186,AC186,AE186)&gt;SUM(AB186,AD186,AF186),"NÃO CONFORME ✗"))</f>
        <v/>
      </c>
      <c r="AH186" s="72" t="n">
        <v>2.5</v>
      </c>
      <c r="AI186" s="72" t="n">
        <v>2.5</v>
      </c>
      <c r="AJ186" s="72" t="n">
        <v>4</v>
      </c>
      <c r="AK186" s="7" t="inlineStr">
        <is>
          <t>Substituir as mangueiras e cabos dos sensores com nova rota e fixações.</t>
        </is>
      </c>
      <c r="AL186" s="58">
        <f>IFERROR(CALCULOS!H181,"NECESSÁRIO REVISAR DATASHEET")</f>
        <v/>
      </c>
      <c r="AM18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6" s="64">
        <f>SUM(Tabela2[[#This Row],[Nota de Prioridade Quantitativa(NOTAS: 1 PIOR NOTA; 5 MELHOR NOTA)]],Tabela2[[#This Row],[Nota de Prioridade Qualitativa(NOTAS: 1 PIOR NOTA;  5 MELHOR NOTA)]])</f>
        <v/>
      </c>
      <c r="AO186" s="7" t="n">
        <v>149048</v>
      </c>
      <c r="AP186" s="64">
        <f>SUM(Tabela2[[#This Row],[Nota de Prioridade Quantitativa(NOTAS: 1 PIOR NOTA; 5 MELHOR NOTA)]],Tabela2[[#This Row],[Nota de Prioridade Qualitativa(NOTAS: 1 PIOR NOTA;  5 MELHOR NOTA)]])</f>
        <v/>
      </c>
      <c r="AQ186" s="7" t="n"/>
      <c r="AR186" s="64">
        <f>SUM(Tabela2[[#This Row],[Nota de Prioridade Quantitativa(NOTAS: 1 PIOR NOTA; 5 MELHOR NOTA)]],Tabela2[[#This Row],[Nota de Prioridade Qualitativa(NOTAS: 1 PIOR NOTA;  5 MELHOR NOTA)]])</f>
        <v/>
      </c>
      <c r="AS186" s="7" t="n"/>
      <c r="AZ186" s="20">
        <f t="array" ref="AZ186">StatusCarga(G186,H186,J186,K186)</f>
        <v/>
      </c>
      <c r="BA186" s="20">
        <f>IF(AZ186="CONFORME","CONFORME ✓","NÃO CONFORME ✗")</f>
        <v/>
      </c>
      <c r="BB186" t="n">
        <v>0</v>
      </c>
      <c r="BC186" t="n">
        <v>90</v>
      </c>
      <c r="BD186" t="n">
        <v>0</v>
      </c>
      <c r="BE186" t="n">
        <v>0</v>
      </c>
      <c r="BF186" t="inlineStr">
        <is>
          <t>CONFORME</t>
        </is>
      </c>
    </row>
    <row r="187" hidden="1" ht="21.75" customHeight="1" thickBot="1">
      <c r="A187" s="77" t="inlineStr">
        <is>
          <t>Paraoupeba</t>
        </is>
      </c>
      <c r="B187" s="77" t="inlineStr">
        <is>
          <t>Fábrica</t>
        </is>
      </c>
      <c r="C187" s="80" t="inlineStr">
        <is>
          <t>MN3505</t>
        </is>
      </c>
      <c r="D187" s="80" t="inlineStr">
        <is>
          <t>AFEX</t>
        </is>
      </c>
      <c r="E187" s="80" t="inlineStr">
        <is>
          <t>XCMG</t>
        </is>
      </c>
      <c r="F187" s="80" t="inlineStr">
        <is>
          <t>XCMG GR3505</t>
        </is>
      </c>
      <c r="G187" s="81">
        <f>IFERROR(IF(F187=$AB$2,"",VLOOKUP(F187,'DATASHEET EQUIPAMENTOS'!D:N,2,FALSE)),"")</f>
        <v/>
      </c>
      <c r="H187" s="82" t="inlineStr">
        <is>
          <t>1x60lbs</t>
        </is>
      </c>
      <c r="I187" s="57">
        <f>_xlfn.XLOOKUP(Tabela2[[#This Row],[Modelo]],'DATASHEET EQUIPAMENTOS'!D:D,'DATASHEET EQUIPAMENTOS'!P:P,"",0,1)</f>
        <v/>
      </c>
      <c r="J187" s="81">
        <f>IF(F187=$Z$2,"",VLOOKUP(F187,'DATASHEET EQUIPAMENTOS'!D:N,3,FALSE))</f>
        <v/>
      </c>
      <c r="K187" s="85" t="inlineStr">
        <is>
          <t>1x5gal</t>
        </is>
      </c>
      <c r="L187" s="95">
        <f>IF(AZ187="CONFORME","CONFORME ✓","NÃO CONFORME ✗")</f>
        <v/>
      </c>
      <c r="M187" s="102">
        <f>IF(F187=$Z$2,"",VLOOKUP(F187,'DATASHEET EQUIPAMENTOS'!D:N,4,FALSE))</f>
        <v/>
      </c>
      <c r="N187" s="108" t="n">
        <v>4</v>
      </c>
      <c r="O187" s="102">
        <f>IF(F187=$Z$2,"",VLOOKUP(F187,'DATASHEET EQUIPAMENTOS'!D:N,5,FALSE))</f>
        <v/>
      </c>
      <c r="P187" s="103" t="n">
        <v>0</v>
      </c>
      <c r="Q187" s="102">
        <f>IF(F187=$Z$2,"",VLOOKUP(F187,'DATASHEET EQUIPAMENTOS'!D:N,6,FALSE))</f>
        <v/>
      </c>
      <c r="R187" s="104" t="n">
        <v>2</v>
      </c>
      <c r="S187" s="95">
        <f>IF(Tabela2[[#This Row],[Instalado Sensor Motor]]="Linear","CONFORME ✓",IF(SUM(M187,O187,Q187)&lt;SUM(N187,P187,R187),"CONFORME ✓",IF(SUM(M187,O187,Q187)=SUM(N187,P187,R187),"CONFORME ✓","NÃO CONFORME ✗")))</f>
        <v/>
      </c>
      <c r="T187" s="91">
        <f>IF(F187=$Z$2,"",VLOOKUP(F187,'DATASHEET EQUIPAMENTOS'!D:N,7,FALSE))</f>
        <v/>
      </c>
      <c r="U187" s="57" t="n">
        <v>6</v>
      </c>
      <c r="V187" s="56">
        <f>IF(F187=$Z$2,"",VLOOKUP(F187,'DATASHEET EQUIPAMENTOS'!D:N,8,FALSE))</f>
        <v/>
      </c>
      <c r="W187" s="57" t="n"/>
      <c r="X187" s="56">
        <f>IF(F187=$Z$2,"",VLOOKUP(F187,'DATASHEET EQUIPAMENTOS'!D:N,9,FALSE))</f>
        <v/>
      </c>
      <c r="Y187" s="57" t="n">
        <v>6</v>
      </c>
      <c r="Z187" s="57">
        <f>IF(SUM(T187,V187,X187)&lt;=SUM(U187,W187,Y187),"CONFORME ✓",IF(SUM(T187,V187,X187)&gt;SUM(U187,W187,Y187),"NÃO CONFORME ✗"))</f>
        <v/>
      </c>
      <c r="AA187" s="56">
        <f>IF(F187=$Z$2,"",VLOOKUP(F187,'DATASHEET EQUIPAMENTOS'!D:N,10,FALSE))</f>
        <v/>
      </c>
      <c r="AB187" s="57" t="n">
        <v>4</v>
      </c>
      <c r="AC187" s="56">
        <f>IF(F187=$Z$2,"",VLOOKUP(F187,'DATASHEET EQUIPAMENTOS'!D:N,11,FALSE))</f>
        <v/>
      </c>
      <c r="AD187" s="57" t="n"/>
      <c r="AE187" s="56">
        <f>IF(F187=$Z$2,"",VLOOKUP(F187,'DATASHEET EQUIPAMENTOS'!D:O,12,FALSE))</f>
        <v/>
      </c>
      <c r="AF187" s="57" t="n">
        <v>0</v>
      </c>
      <c r="AG187" s="57">
        <f>IF(SUM(AA187,AC187,AE187)&lt;=SUM(AB187,AD187,AF187),"CONFORME ✓",IF(SUM(AA187,AC187,AE187)&gt;SUM(AB187,AD187,AF187),"NÃO CONFORME ✗"))</f>
        <v/>
      </c>
      <c r="AH187" s="72" t="n"/>
      <c r="AI187" s="72" t="n"/>
      <c r="AJ187" s="72" t="n"/>
      <c r="AK187" s="7" t="inlineStr">
        <is>
          <t>DE ACORDO COM LAYOUT DISPONIBILIZADO PELA GHT OS TANQUES ESTÃO ALIMENTANDO A QUANTIDADE DE BICOS CORRETOS E OS SENSORES ESTAMOS SEM REFERÊNCIA DEVIDO NO CATÁLOGO NÃO CONTER O EQUIPAMENTO.</t>
        </is>
      </c>
      <c r="AL187" s="58">
        <f>IFERROR(CALCULOS!H182,"NECESSÁRIO REVISAR DATASHEET")</f>
        <v/>
      </c>
      <c r="AM18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7" s="64">
        <f>SUM(Tabela2[[#This Row],[Nota de Prioridade Quantitativa(NOTAS: 1 PIOR NOTA; 5 MELHOR NOTA)]],Tabela2[[#This Row],[Nota de Prioridade Qualitativa(NOTAS: 1 PIOR NOTA;  5 MELHOR NOTA)]])</f>
        <v/>
      </c>
      <c r="AO187" s="7" t="n">
        <v>151801</v>
      </c>
      <c r="AP187" s="64">
        <f>SUM(Tabela2[[#This Row],[Nota de Prioridade Quantitativa(NOTAS: 1 PIOR NOTA; 5 MELHOR NOTA)]],Tabela2[[#This Row],[Nota de Prioridade Qualitativa(NOTAS: 1 PIOR NOTA;  5 MELHOR NOTA)]])</f>
        <v/>
      </c>
      <c r="AQ187" s="7" t="n"/>
      <c r="AR187" s="64">
        <f>SUM(Tabela2[[#This Row],[Nota de Prioridade Quantitativa(NOTAS: 1 PIOR NOTA; 5 MELHOR NOTA)]],Tabela2[[#This Row],[Nota de Prioridade Qualitativa(NOTAS: 1 PIOR NOTA;  5 MELHOR NOTA)]])</f>
        <v/>
      </c>
      <c r="AS187" s="7" t="n"/>
      <c r="AZ187" s="20">
        <f t="array" ref="AZ187">StatusCarga(G187,H187,J187,K187)</f>
        <v/>
      </c>
      <c r="BA187" s="20">
        <f>IF(AZ187="CONFORME","CONFORME ✓","NÃO CONFORME ✗")</f>
        <v/>
      </c>
      <c r="BB187" t="n">
        <v>0</v>
      </c>
      <c r="BC187" t="n">
        <v>60</v>
      </c>
      <c r="BD187" t="n">
        <v>0</v>
      </c>
      <c r="BE187" t="n">
        <v>5</v>
      </c>
      <c r="BF187" t="inlineStr">
        <is>
          <t>CONFORME</t>
        </is>
      </c>
    </row>
    <row r="188" hidden="1" ht="21.75" customHeight="1" thickBot="1">
      <c r="A188" s="77" t="inlineStr">
        <is>
          <t>VGR</t>
        </is>
      </c>
      <c r="B188" t="inlineStr">
        <is>
          <t>Pico</t>
        </is>
      </c>
      <c r="C188" s="80" t="inlineStr">
        <is>
          <t>CA5465</t>
        </is>
      </c>
      <c r="D188" t="inlineStr">
        <is>
          <t>AFEX</t>
        </is>
      </c>
      <c r="E188" t="inlineStr">
        <is>
          <t>CATERPILLAR</t>
        </is>
      </c>
      <c r="F188" t="inlineStr">
        <is>
          <t>CAT 785C</t>
        </is>
      </c>
      <c r="G188" s="81">
        <f>IFERROR(IF(F188=$AB$2,"",VLOOKUP(F188,'DATASHEET EQUIPAMENTOS'!D:N,2,FALSE)),"")</f>
        <v/>
      </c>
      <c r="H188" s="82" t="n"/>
      <c r="I188" s="57">
        <f>_xlfn.XLOOKUP(Tabela2[[#This Row],[Modelo]],'DATASHEET EQUIPAMENTOS'!D:D,'DATASHEET EQUIPAMENTOS'!P:P,"",0,1)</f>
        <v/>
      </c>
      <c r="J188" s="81">
        <f>IF(F188=$Z$2,"",VLOOKUP(F188,'DATASHEET EQUIPAMENTOS'!D:N,3,FALSE))</f>
        <v/>
      </c>
      <c r="K188" s="85" t="n"/>
      <c r="L188" s="95">
        <f>IF(AZ188="CONFORME","CONFORME ✓","NÃO CONFORME ✗")</f>
        <v/>
      </c>
      <c r="M188" s="124">
        <f>IF(F188=$Z$2,"",VLOOKUP(F188,'DATASHEET EQUIPAMENTOS'!D:N,4,FALSE))</f>
        <v/>
      </c>
      <c r="N188" s="57" t="n"/>
      <c r="O188" s="125">
        <f>IF(F188=$Z$2,"",VLOOKUP(F188,'DATASHEET EQUIPAMENTOS'!D:N,5,FALSE))</f>
        <v/>
      </c>
      <c r="P188" s="57" t="n"/>
      <c r="Q188" s="56">
        <f>IF(F188=$Z$2,"",VLOOKUP(F188,'DATASHEET EQUIPAMENTOS'!D:N,6,FALSE))</f>
        <v/>
      </c>
      <c r="R188" s="57" t="n"/>
      <c r="S188" s="126">
        <f>IF(Tabela2[[#This Row],[Instalado Sensor Motor]]="Linear","CONFORME ✓",IF(SUM(M188,O188,Q188)&lt;SUM(N188,P188,R188),"CONFORME ✓",IF(SUM(M188,O188,Q188)=SUM(N188,P188,R188),"CONFORME ✓","NÃO CONFORME ✗")))</f>
        <v/>
      </c>
      <c r="T188" s="56">
        <f>IF(F188=$Z$2,"",VLOOKUP(F188,'DATASHEET EQUIPAMENTOS'!D:N,7,FALSE))</f>
        <v/>
      </c>
      <c r="U188" s="57" t="n"/>
      <c r="V188" s="56">
        <f>IF(F188=$Z$2,"",VLOOKUP(F188,'DATASHEET EQUIPAMENTOS'!D:N,8,FALSE))</f>
        <v/>
      </c>
      <c r="W188" s="57" t="n"/>
      <c r="X188" s="56">
        <f>IF(F188=$Z$2,"",VLOOKUP(F188,'DATASHEET EQUIPAMENTOS'!D:N,9,FALSE))</f>
        <v/>
      </c>
      <c r="Y188" s="57" t="n"/>
      <c r="Z188" s="57">
        <f>IF(SUM(T188,V188,X188)&lt;=SUM(U188,W188,Y188),"CONFORME ✓",IF(SUM(T188,V188,X188)&gt;SUM(U188,W188,Y188),"NÃO CONFORME ✗"))</f>
        <v/>
      </c>
      <c r="AA188" s="56">
        <f>IF(F188=$Z$2,"",VLOOKUP(F188,'DATASHEET EQUIPAMENTOS'!D:N,10,FALSE))</f>
        <v/>
      </c>
      <c r="AB188" s="57" t="n"/>
      <c r="AC188" s="56">
        <f>IF(F188=$Z$2,"",VLOOKUP(F188,'DATASHEET EQUIPAMENTOS'!D:N,11,FALSE))</f>
        <v/>
      </c>
      <c r="AD188" s="57" t="n"/>
      <c r="AE188" s="56">
        <f>IF(F188=$Z$2,"",VLOOKUP(F188,'DATASHEET EQUIPAMENTOS'!D:O,12,FALSE))</f>
        <v/>
      </c>
      <c r="AF188" s="57" t="n"/>
      <c r="AG188" s="127">
        <f>IF(SUM(AA188,AC188,AE188)&lt;=SUM(AB188,AD188,AF188),"CONFORME ✓",IF(SUM(AA188,AC188,AE188)&gt;SUM(AB188,AD188,AF188),"NÃO CONFORME ✗"))</f>
        <v/>
      </c>
      <c r="AH188" s="128" t="n"/>
      <c r="AI188" s="129" t="n"/>
      <c r="AJ188" s="130" t="n"/>
      <c r="AK188" s="131" t="n"/>
      <c r="AL188" s="58">
        <f>IFERROR(CALCULOS!H183,"NECESSÁRIO REVISAR DATASHEET")</f>
        <v/>
      </c>
      <c r="AM18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8" s="64">
        <f>SUM(Tabela2[[#This Row],[Nota de Prioridade Quantitativa(NOTAS: 1 PIOR NOTA; 5 MELHOR NOTA)]],Tabela2[[#This Row],[Nota de Prioridade Qualitativa(NOTAS: 1 PIOR NOTA;  5 MELHOR NOTA)]])</f>
        <v/>
      </c>
      <c r="AO188" s="7" t="n">
        <v>155282</v>
      </c>
      <c r="AP188" s="64">
        <f>SUM(Tabela2[[#This Row],[Nota de Prioridade Quantitativa(NOTAS: 1 PIOR NOTA; 5 MELHOR NOTA)]],Tabela2[[#This Row],[Nota de Prioridade Qualitativa(NOTAS: 1 PIOR NOTA;  5 MELHOR NOTA)]])</f>
        <v/>
      </c>
      <c r="AQ188" s="64" t="n"/>
      <c r="AR188" s="64">
        <f>SUM(Tabela2[[#This Row],[Nota de Prioridade Quantitativa(NOTAS: 1 PIOR NOTA; 5 MELHOR NOTA)]],Tabela2[[#This Row],[Nota de Prioridade Qualitativa(NOTAS: 1 PIOR NOTA;  5 MELHOR NOTA)]])</f>
        <v/>
      </c>
      <c r="AS188" s="7" t="n"/>
      <c r="BB188" t="n">
        <v>0</v>
      </c>
      <c r="BC188" t="n">
        <v>0</v>
      </c>
      <c r="BD188" t="n">
        <v>0</v>
      </c>
      <c r="BE188" t="n">
        <v>0</v>
      </c>
      <c r="BF188" t="inlineStr">
        <is>
          <t>CONFORME</t>
        </is>
      </c>
    </row>
    <row r="189" hidden="1" ht="21.75" customHeight="1" thickBot="1">
      <c r="A189" s="77" t="inlineStr">
        <is>
          <t>VGR</t>
        </is>
      </c>
      <c r="B189" t="inlineStr">
        <is>
          <t>Pico</t>
        </is>
      </c>
      <c r="C189" s="80" t="inlineStr">
        <is>
          <t>TE2421</t>
        </is>
      </c>
      <c r="D189" t="inlineStr">
        <is>
          <t>AFEX</t>
        </is>
      </c>
      <c r="E189" t="inlineStr">
        <is>
          <t>CATERPILLAR</t>
        </is>
      </c>
      <c r="F189" t="inlineStr">
        <is>
          <t>CAT D10T</t>
        </is>
      </c>
      <c r="G189" s="81">
        <f>IFERROR(IF(F189=$AB$2,"",VLOOKUP(F189,'DATASHEET EQUIPAMENTOS'!D:N,2,FALSE)),"")</f>
        <v/>
      </c>
      <c r="H189" s="82" t="n"/>
      <c r="I189" s="57">
        <f>_xlfn.XLOOKUP(Tabela2[[#This Row],[Modelo]],'DATASHEET EQUIPAMENTOS'!D:D,'DATASHEET EQUIPAMENTOS'!P:P,"",0,1)</f>
        <v/>
      </c>
      <c r="J189" s="81">
        <f>IF(F189=$Z$2,"",VLOOKUP(F189,'DATASHEET EQUIPAMENTOS'!D:N,3,FALSE))</f>
        <v/>
      </c>
      <c r="K189" s="85" t="n"/>
      <c r="L189" s="95">
        <f>IF(AZ189="CONFORME","CONFORME ✓","NÃO CONFORME ✗")</f>
        <v/>
      </c>
      <c r="M189" s="124">
        <f>IF(F189=$Z$2,"",VLOOKUP(F189,'DATASHEET EQUIPAMENTOS'!D:N,4,FALSE))</f>
        <v/>
      </c>
      <c r="N189" s="57" t="n"/>
      <c r="O189" s="125">
        <f>IF(F189=$Z$2,"",VLOOKUP(F189,'DATASHEET EQUIPAMENTOS'!D:N,5,FALSE))</f>
        <v/>
      </c>
      <c r="P189" s="57" t="n"/>
      <c r="Q189" s="56">
        <f>IF(F189=$Z$2,"",VLOOKUP(F189,'DATASHEET EQUIPAMENTOS'!D:N,6,FALSE))</f>
        <v/>
      </c>
      <c r="R189" s="57" t="n"/>
      <c r="S189" s="126">
        <f>IF(Tabela2[[#This Row],[Instalado Sensor Motor]]="Linear","CONFORME ✓",IF(SUM(M189,O189,Q189)&lt;SUM(N189,P189,R189),"CONFORME ✓",IF(SUM(M189,O189,Q189)=SUM(N189,P189,R189),"CONFORME ✓","NÃO CONFORME ✗")))</f>
        <v/>
      </c>
      <c r="T189" s="56">
        <f>IF(F189=$Z$2,"",VLOOKUP(F189,'DATASHEET EQUIPAMENTOS'!D:N,7,FALSE))</f>
        <v/>
      </c>
      <c r="U189" s="57" t="n"/>
      <c r="V189" s="56">
        <f>IF(F189=$Z$2,"",VLOOKUP(F189,'DATASHEET EQUIPAMENTOS'!D:N,8,FALSE))</f>
        <v/>
      </c>
      <c r="W189" s="57" t="n"/>
      <c r="X189" s="56">
        <f>IF(F189=$Z$2,"",VLOOKUP(F189,'DATASHEET EQUIPAMENTOS'!D:N,9,FALSE))</f>
        <v/>
      </c>
      <c r="Y189" s="57" t="n"/>
      <c r="Z189" s="57">
        <f>IF(SUM(T189,V189,X189)&lt;=SUM(U189,W189,Y189),"CONFORME ✓",IF(SUM(T189,V189,X189)&gt;SUM(U189,W189,Y189),"NÃO CONFORME ✗"))</f>
        <v/>
      </c>
      <c r="AA189" s="56">
        <f>IF(F189=$Z$2,"",VLOOKUP(F189,'DATASHEET EQUIPAMENTOS'!D:N,10,FALSE))</f>
        <v/>
      </c>
      <c r="AB189" s="57" t="n"/>
      <c r="AC189" s="56">
        <f>IF(F189=$Z$2,"",VLOOKUP(F189,'DATASHEET EQUIPAMENTOS'!D:N,11,FALSE))</f>
        <v/>
      </c>
      <c r="AD189" s="57" t="n"/>
      <c r="AE189" s="56">
        <f>IF(F189=$Z$2,"",VLOOKUP(F189,'DATASHEET EQUIPAMENTOS'!D:O,12,FALSE))</f>
        <v/>
      </c>
      <c r="AF189" s="57" t="n"/>
      <c r="AG189" s="127">
        <f>IF(SUM(AA189,AC189,AE189)&lt;=SUM(AB189,AD189,AF189),"CONFORME ✓",IF(SUM(AA189,AC189,AE189)&gt;SUM(AB189,AD189,AF189),"NÃO CONFORME ✗"))</f>
        <v/>
      </c>
      <c r="AH189" s="128" t="n"/>
      <c r="AI189" s="129" t="n"/>
      <c r="AJ189" s="130" t="n"/>
      <c r="AK189" s="131" t="n"/>
      <c r="AL189" s="58">
        <f>IFERROR(CALCULOS!H184,"NECESSÁRIO REVISAR DATASHEET")</f>
        <v/>
      </c>
      <c r="AM18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89" s="64">
        <f>SUM(Tabela2[[#This Row],[Nota de Prioridade Quantitativa(NOTAS: 1 PIOR NOTA; 5 MELHOR NOTA)]],Tabela2[[#This Row],[Nota de Prioridade Qualitativa(NOTAS: 1 PIOR NOTA;  5 MELHOR NOTA)]])</f>
        <v/>
      </c>
      <c r="AO189" s="7" t="n">
        <v>155267</v>
      </c>
      <c r="AP189" s="64">
        <f>SUM(Tabela2[[#This Row],[Nota de Prioridade Quantitativa(NOTAS: 1 PIOR NOTA; 5 MELHOR NOTA)]],Tabela2[[#This Row],[Nota de Prioridade Qualitativa(NOTAS: 1 PIOR NOTA;  5 MELHOR NOTA)]])</f>
        <v/>
      </c>
      <c r="AQ189" s="64" t="n"/>
      <c r="AR189" s="64">
        <f>SUM(Tabela2[[#This Row],[Nota de Prioridade Quantitativa(NOTAS: 1 PIOR NOTA; 5 MELHOR NOTA)]],Tabela2[[#This Row],[Nota de Prioridade Qualitativa(NOTAS: 1 PIOR NOTA;  5 MELHOR NOTA)]])</f>
        <v/>
      </c>
      <c r="AS189" s="7" t="n"/>
      <c r="BB189" t="n">
        <v>0</v>
      </c>
      <c r="BC189" t="n">
        <v>0</v>
      </c>
      <c r="BD189" t="n">
        <v>0</v>
      </c>
      <c r="BE189" t="n">
        <v>0</v>
      </c>
      <c r="BF189" t="inlineStr">
        <is>
          <t>CONFORME</t>
        </is>
      </c>
    </row>
    <row r="190" hidden="1" ht="21.75" customHeight="1" thickBot="1">
      <c r="A190" s="77" t="inlineStr">
        <is>
          <t>VGR</t>
        </is>
      </c>
      <c r="B190" t="inlineStr">
        <is>
          <t>Pico</t>
        </is>
      </c>
      <c r="C190" s="80" t="inlineStr">
        <is>
          <t>CA5427</t>
        </is>
      </c>
      <c r="D190" t="inlineStr">
        <is>
          <t>AFEX</t>
        </is>
      </c>
      <c r="E190" t="inlineStr">
        <is>
          <t>CATERPILLAR</t>
        </is>
      </c>
      <c r="F190" t="inlineStr">
        <is>
          <t>CAT 785C</t>
        </is>
      </c>
      <c r="G190" s="81">
        <f>IFERROR(IF(F190=$AB$2,"",VLOOKUP(F190,'DATASHEET EQUIPAMENTOS'!D:N,2,FALSE)),"")</f>
        <v/>
      </c>
      <c r="H190" s="82" t="n"/>
      <c r="I190" s="57">
        <f>_xlfn.XLOOKUP(Tabela2[[#This Row],[Modelo]],'DATASHEET EQUIPAMENTOS'!D:D,'DATASHEET EQUIPAMENTOS'!P:P,"",0,1)</f>
        <v/>
      </c>
      <c r="J190" s="81">
        <f>IF(F190=$Z$2,"",VLOOKUP(F190,'DATASHEET EQUIPAMENTOS'!D:N,3,FALSE))</f>
        <v/>
      </c>
      <c r="K190" s="85" t="n"/>
      <c r="L190" s="95">
        <f>IF(AZ190="CONFORME","CONFORME ✓","NÃO CONFORME ✗")</f>
        <v/>
      </c>
      <c r="M190" s="124">
        <f>IF(F190=$Z$2,"",VLOOKUP(F190,'DATASHEET EQUIPAMENTOS'!D:N,4,FALSE))</f>
        <v/>
      </c>
      <c r="N190" s="57" t="n"/>
      <c r="O190" s="125">
        <f>IF(F190=$Z$2,"",VLOOKUP(F190,'DATASHEET EQUIPAMENTOS'!D:N,5,FALSE))</f>
        <v/>
      </c>
      <c r="P190" s="57" t="n"/>
      <c r="Q190" s="56">
        <f>IF(F190=$Z$2,"",VLOOKUP(F190,'DATASHEET EQUIPAMENTOS'!D:N,6,FALSE))</f>
        <v/>
      </c>
      <c r="R190" s="57" t="n"/>
      <c r="S190" s="126">
        <f>IF(Tabela2[[#This Row],[Instalado Sensor Motor]]="Linear","CONFORME ✓",IF(SUM(M190,O190,Q190)&lt;SUM(N190,P190,R190),"CONFORME ✓",IF(SUM(M190,O190,Q190)=SUM(N190,P190,R190),"CONFORME ✓","NÃO CONFORME ✗")))</f>
        <v/>
      </c>
      <c r="T190" s="56">
        <f>IF(F190=$Z$2,"",VLOOKUP(F190,'DATASHEET EQUIPAMENTOS'!D:N,7,FALSE))</f>
        <v/>
      </c>
      <c r="U190" s="57" t="n"/>
      <c r="V190" s="56">
        <f>IF(F190=$Z$2,"",VLOOKUP(F190,'DATASHEET EQUIPAMENTOS'!D:N,8,FALSE))</f>
        <v/>
      </c>
      <c r="W190" s="57" t="n"/>
      <c r="X190" s="56">
        <f>IF(F190=$Z$2,"",VLOOKUP(F190,'DATASHEET EQUIPAMENTOS'!D:N,9,FALSE))</f>
        <v/>
      </c>
      <c r="Y190" s="57" t="n"/>
      <c r="Z190" s="57">
        <f>IF(SUM(T190,V190,X190)&lt;=SUM(U190,W190,Y190),"CONFORME ✓",IF(SUM(T190,V190,X190)&gt;SUM(U190,W190,Y190),"NÃO CONFORME ✗"))</f>
        <v/>
      </c>
      <c r="AA190" s="56">
        <f>IF(F190=$Z$2,"",VLOOKUP(F190,'DATASHEET EQUIPAMENTOS'!D:N,10,FALSE))</f>
        <v/>
      </c>
      <c r="AB190" s="57" t="n"/>
      <c r="AC190" s="56">
        <f>IF(F190=$Z$2,"",VLOOKUP(F190,'DATASHEET EQUIPAMENTOS'!D:N,11,FALSE))</f>
        <v/>
      </c>
      <c r="AD190" s="57" t="n"/>
      <c r="AE190" s="56">
        <f>IF(F190=$Z$2,"",VLOOKUP(F190,'DATASHEET EQUIPAMENTOS'!D:O,12,FALSE))</f>
        <v/>
      </c>
      <c r="AF190" s="57" t="n"/>
      <c r="AG190" s="127">
        <f>IF(SUM(AA190,AC190,AE190)&lt;=SUM(AB190,AD190,AF190),"CONFORME ✓",IF(SUM(AA190,AC190,AE190)&gt;SUM(AB190,AD190,AF190),"NÃO CONFORME ✗"))</f>
        <v/>
      </c>
      <c r="AH190" s="128" t="n"/>
      <c r="AI190" s="129" t="n"/>
      <c r="AJ190" s="130" t="n"/>
      <c r="AK190" s="131" t="n"/>
      <c r="AL190" s="58">
        <f>IFERROR(CALCULOS!H185,"NECESSÁRIO REVISAR DATASHEET")</f>
        <v/>
      </c>
      <c r="AM19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0" s="64">
        <f>SUM(Tabela2[[#This Row],[Nota de Prioridade Quantitativa(NOTAS: 1 PIOR NOTA; 5 MELHOR NOTA)]],Tabela2[[#This Row],[Nota de Prioridade Qualitativa(NOTAS: 1 PIOR NOTA;  5 MELHOR NOTA)]])</f>
        <v/>
      </c>
      <c r="AO190" s="7" t="n">
        <v>155266</v>
      </c>
      <c r="AP190" s="64">
        <f>SUM(Tabela2[[#This Row],[Nota de Prioridade Quantitativa(NOTAS: 1 PIOR NOTA; 5 MELHOR NOTA)]],Tabela2[[#This Row],[Nota de Prioridade Qualitativa(NOTAS: 1 PIOR NOTA;  5 MELHOR NOTA)]])</f>
        <v/>
      </c>
      <c r="AQ190" s="64" t="n"/>
      <c r="AR190" s="64">
        <f>SUM(Tabela2[[#This Row],[Nota de Prioridade Quantitativa(NOTAS: 1 PIOR NOTA; 5 MELHOR NOTA)]],Tabela2[[#This Row],[Nota de Prioridade Qualitativa(NOTAS: 1 PIOR NOTA;  5 MELHOR NOTA)]])</f>
        <v/>
      </c>
      <c r="AS190" s="7" t="n"/>
      <c r="BB190" t="n">
        <v>0</v>
      </c>
      <c r="BC190" t="n">
        <v>0</v>
      </c>
      <c r="BD190" t="n">
        <v>0</v>
      </c>
      <c r="BE190" t="n">
        <v>0</v>
      </c>
      <c r="BF190" t="inlineStr">
        <is>
          <t>CONFORME</t>
        </is>
      </c>
    </row>
    <row r="191" hidden="1" ht="21.75" customHeight="1" thickBot="1">
      <c r="A191" s="77" t="inlineStr">
        <is>
          <t>VGR</t>
        </is>
      </c>
      <c r="B191" t="inlineStr">
        <is>
          <t>Pico</t>
        </is>
      </c>
      <c r="C191" s="80" t="inlineStr">
        <is>
          <t>PE3790</t>
        </is>
      </c>
      <c r="D191" t="inlineStr">
        <is>
          <t>KIDDE</t>
        </is>
      </c>
      <c r="E191" s="80" t="inlineStr">
        <is>
          <t>LETORNEAU</t>
        </is>
      </c>
      <c r="F191" s="80" t="inlineStr">
        <is>
          <t>LeTourneau L1350II</t>
        </is>
      </c>
      <c r="G191" s="81">
        <f>IFERROR(IF(F191=$AB$2,"",VLOOKUP(F191,'DATASHEET EQUIPAMENTOS'!D:N,2,FALSE)),"")</f>
        <v/>
      </c>
      <c r="H191" s="82" t="n"/>
      <c r="I191" s="57">
        <f>_xlfn.XLOOKUP(Tabela2[[#This Row],[Modelo]],'DATASHEET EQUIPAMENTOS'!D:D,'DATASHEET EQUIPAMENTOS'!P:P,"",0,1)</f>
        <v/>
      </c>
      <c r="J191" s="81">
        <f>IF(F191=$Z$2,"",VLOOKUP(F191,'DATASHEET EQUIPAMENTOS'!D:N,3,FALSE))</f>
        <v/>
      </c>
      <c r="K191" s="85" t="n"/>
      <c r="L191" s="95">
        <f>IF(AZ191="CONFORME","CONFORME ✓","NÃO CONFORME ✗")</f>
        <v/>
      </c>
      <c r="M191" s="124">
        <f>IF(F191=$Z$2,"",VLOOKUP(F191,'DATASHEET EQUIPAMENTOS'!D:N,4,FALSE))</f>
        <v/>
      </c>
      <c r="N191" s="57" t="n"/>
      <c r="O191" s="125">
        <f>IF(F191=$Z$2,"",VLOOKUP(F191,'DATASHEET EQUIPAMENTOS'!D:N,5,FALSE))</f>
        <v/>
      </c>
      <c r="P191" s="57" t="n"/>
      <c r="Q191" s="56">
        <f>IF(F191=$Z$2,"",VLOOKUP(F191,'DATASHEET EQUIPAMENTOS'!D:N,6,FALSE))</f>
        <v/>
      </c>
      <c r="R191" s="57" t="n"/>
      <c r="S191" s="126">
        <f>IF(Tabela2[[#This Row],[Instalado Sensor Motor]]="Linear","CONFORME ✓",IF(SUM(M191,O191,Q191)&lt;SUM(N191,P191,R191),"CONFORME ✓",IF(SUM(M191,O191,Q191)=SUM(N191,P191,R191),"CONFORME ✓","NÃO CONFORME ✗")))</f>
        <v/>
      </c>
      <c r="T191" s="56">
        <f>IF(F191=$Z$2,"",VLOOKUP(F191,'DATASHEET EQUIPAMENTOS'!D:N,7,FALSE))</f>
        <v/>
      </c>
      <c r="U191" s="57" t="n"/>
      <c r="V191" s="56">
        <f>IF(F191=$Z$2,"",VLOOKUP(F191,'DATASHEET EQUIPAMENTOS'!D:N,8,FALSE))</f>
        <v/>
      </c>
      <c r="W191" s="57" t="n"/>
      <c r="X191" s="56">
        <f>IF(F191=$Z$2,"",VLOOKUP(F191,'DATASHEET EQUIPAMENTOS'!D:N,9,FALSE))</f>
        <v/>
      </c>
      <c r="Y191" s="57" t="n"/>
      <c r="Z191" s="57">
        <f>IF(SUM(T191,V191,X191)&lt;=SUM(U191,W191,Y191),"CONFORME ✓",IF(SUM(T191,V191,X191)&gt;SUM(U191,W191,Y191),"NÃO CONFORME ✗"))</f>
        <v/>
      </c>
      <c r="AA191" s="56">
        <f>IF(F191=$Z$2,"",VLOOKUP(F191,'DATASHEET EQUIPAMENTOS'!D:N,10,FALSE))</f>
        <v/>
      </c>
      <c r="AB191" s="57" t="n"/>
      <c r="AC191" s="56">
        <f>IF(F191=$Z$2,"",VLOOKUP(F191,'DATASHEET EQUIPAMENTOS'!D:N,11,FALSE))</f>
        <v/>
      </c>
      <c r="AD191" s="57" t="n"/>
      <c r="AE191" s="56">
        <f>IF(F191=$Z$2,"",VLOOKUP(F191,'DATASHEET EQUIPAMENTOS'!D:O,12,FALSE))</f>
        <v/>
      </c>
      <c r="AF191" s="57" t="n"/>
      <c r="AG191" s="127">
        <f>IF(SUM(AA191,AC191,AE191)&lt;=SUM(AB191,AD191,AF191),"CONFORME ✓",IF(SUM(AA191,AC191,AE191)&gt;SUM(AB191,AD191,AF191),"NÃO CONFORME ✗"))</f>
        <v/>
      </c>
      <c r="AH191" s="128" t="n"/>
      <c r="AI191" s="129" t="n"/>
      <c r="AJ191" s="130" t="n"/>
      <c r="AK191" s="131" t="n"/>
      <c r="AL191" s="58">
        <f>IFERROR(CALCULOS!H186,"NECESSÁRIO REVISAR DATASHEET")</f>
        <v/>
      </c>
      <c r="AM19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1" s="64">
        <f>SUM(Tabela2[[#This Row],[Nota de Prioridade Quantitativa(NOTAS: 1 PIOR NOTA; 5 MELHOR NOTA)]],Tabela2[[#This Row],[Nota de Prioridade Qualitativa(NOTAS: 1 PIOR NOTA;  5 MELHOR NOTA)]])</f>
        <v/>
      </c>
      <c r="AO191" s="7" t="n">
        <v>155261</v>
      </c>
      <c r="AP191" s="64">
        <f>SUM(Tabela2[[#This Row],[Nota de Prioridade Quantitativa(NOTAS: 1 PIOR NOTA; 5 MELHOR NOTA)]],Tabela2[[#This Row],[Nota de Prioridade Qualitativa(NOTAS: 1 PIOR NOTA;  5 MELHOR NOTA)]])</f>
        <v/>
      </c>
      <c r="AQ191" s="64" t="n"/>
      <c r="AR191" s="64">
        <f>SUM(Tabela2[[#This Row],[Nota de Prioridade Quantitativa(NOTAS: 1 PIOR NOTA; 5 MELHOR NOTA)]],Tabela2[[#This Row],[Nota de Prioridade Qualitativa(NOTAS: 1 PIOR NOTA;  5 MELHOR NOTA)]])</f>
        <v/>
      </c>
      <c r="AS191" s="7" t="n"/>
      <c r="BB191" t="n">
        <v>0</v>
      </c>
      <c r="BC191" t="n">
        <v>0</v>
      </c>
      <c r="BD191" t="n">
        <v>0</v>
      </c>
      <c r="BE191" t="n">
        <v>0</v>
      </c>
      <c r="BF191" t="inlineStr">
        <is>
          <t>CONFORME</t>
        </is>
      </c>
    </row>
    <row r="192" hidden="1" ht="21.75" customHeight="1" thickBot="1">
      <c r="A192" s="77" t="inlineStr">
        <is>
          <t>Paraoupeba</t>
        </is>
      </c>
      <c r="B192" t="inlineStr">
        <is>
          <t>Horizontes</t>
        </is>
      </c>
      <c r="C192" s="80" t="inlineStr">
        <is>
          <t>PM4364</t>
        </is>
      </c>
      <c r="D192" t="inlineStr">
        <is>
          <t>AFEX</t>
        </is>
      </c>
      <c r="E192" t="inlineStr">
        <is>
          <t>CATERPILLAR</t>
        </is>
      </c>
      <c r="F192" t="inlineStr">
        <is>
          <t>CAT 980M</t>
        </is>
      </c>
      <c r="G192" s="81">
        <f>IFERROR(IF(F192=$AB$2,"",VLOOKUP(F192,'DATASHEET EQUIPAMENTOS'!D:N,2,FALSE)),"")</f>
        <v/>
      </c>
      <c r="H192" s="82" t="n"/>
      <c r="I192" s="57">
        <f>_xlfn.XLOOKUP(Tabela2[[#This Row],[Modelo]],'DATASHEET EQUIPAMENTOS'!D:D,'DATASHEET EQUIPAMENTOS'!P:P,"",0,1)</f>
        <v/>
      </c>
      <c r="J192" s="81">
        <f>IF(F192=$Z$2,"",VLOOKUP(F192,'DATASHEET EQUIPAMENTOS'!D:N,3,FALSE))</f>
        <v/>
      </c>
      <c r="K192" s="85" t="n"/>
      <c r="L192" s="95">
        <f>IF(AZ192="CONFORME","CONFORME ✓","NÃO CONFORME ✗")</f>
        <v/>
      </c>
      <c r="M192" s="124">
        <f>IF(F192=$Z$2,"",VLOOKUP(F192,'DATASHEET EQUIPAMENTOS'!D:N,4,FALSE))</f>
        <v/>
      </c>
      <c r="N192" s="57" t="n"/>
      <c r="O192" s="125">
        <f>IF(F192=$Z$2,"",VLOOKUP(F192,'DATASHEET EQUIPAMENTOS'!D:N,5,FALSE))</f>
        <v/>
      </c>
      <c r="P192" s="57" t="n"/>
      <c r="Q192" s="56">
        <f>IF(F192=$Z$2,"",VLOOKUP(F192,'DATASHEET EQUIPAMENTOS'!D:N,6,FALSE))</f>
        <v/>
      </c>
      <c r="R192" s="57" t="n"/>
      <c r="S192" s="126">
        <f>IF(Tabela2[[#This Row],[Instalado Sensor Motor]]="Linear","CONFORME ✓",IF(SUM(M192,O192,Q192)&lt;SUM(N192,P192,R192),"CONFORME ✓",IF(SUM(M192,O192,Q192)=SUM(N192,P192,R192),"CONFORME ✓","NÃO CONFORME ✗")))</f>
        <v/>
      </c>
      <c r="T192" s="56">
        <f>IF(F192=$Z$2,"",VLOOKUP(F192,'DATASHEET EQUIPAMENTOS'!D:N,7,FALSE))</f>
        <v/>
      </c>
      <c r="U192" s="57" t="n"/>
      <c r="V192" s="56">
        <f>IF(F192=$Z$2,"",VLOOKUP(F192,'DATASHEET EQUIPAMENTOS'!D:N,8,FALSE))</f>
        <v/>
      </c>
      <c r="W192" s="57" t="n"/>
      <c r="X192" s="56">
        <f>IF(F192=$Z$2,"",VLOOKUP(F192,'DATASHEET EQUIPAMENTOS'!D:N,9,FALSE))</f>
        <v/>
      </c>
      <c r="Y192" s="57" t="n"/>
      <c r="Z192" s="57">
        <f>IF(SUM(T192,V192,X192)&lt;=SUM(U192,W192,Y192),"CONFORME ✓",IF(SUM(T192,V192,X192)&gt;SUM(U192,W192,Y192),"NÃO CONFORME ✗"))</f>
        <v/>
      </c>
      <c r="AA192" s="56">
        <f>IF(F192=$Z$2,"",VLOOKUP(F192,'DATASHEET EQUIPAMENTOS'!D:N,10,FALSE))</f>
        <v/>
      </c>
      <c r="AB192" s="57" t="n"/>
      <c r="AC192" s="56">
        <f>IF(F192=$Z$2,"",VLOOKUP(F192,'DATASHEET EQUIPAMENTOS'!D:N,11,FALSE))</f>
        <v/>
      </c>
      <c r="AD192" s="57" t="n"/>
      <c r="AE192" s="56">
        <f>IF(F192=$Z$2,"",VLOOKUP(F192,'DATASHEET EQUIPAMENTOS'!D:O,12,FALSE))</f>
        <v/>
      </c>
      <c r="AF192" s="57" t="n"/>
      <c r="AG192" s="127">
        <f>IF(SUM(AA192,AC192,AE192)&lt;=SUM(AB192,AD192,AF192),"CONFORME ✓",IF(SUM(AA192,AC192,AE192)&gt;SUM(AB192,AD192,AF192),"NÃO CONFORME ✗"))</f>
        <v/>
      </c>
      <c r="AH192" s="128" t="n"/>
      <c r="AI192" s="129" t="n"/>
      <c r="AJ192" s="130" t="n"/>
      <c r="AK192" s="131" t="n"/>
      <c r="AL192" s="58">
        <f>IFERROR(CALCULOS!H187,"NECESSÁRIO REVISAR DATASHEET")</f>
        <v/>
      </c>
      <c r="AM19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2" s="64">
        <f>SUM(Tabela2[[#This Row],[Nota de Prioridade Quantitativa(NOTAS: 1 PIOR NOTA; 5 MELHOR NOTA)]],Tabela2[[#This Row],[Nota de Prioridade Qualitativa(NOTAS: 1 PIOR NOTA;  5 MELHOR NOTA)]])</f>
        <v/>
      </c>
      <c r="AO192" s="7" t="n">
        <v>155148</v>
      </c>
      <c r="AP192" s="64">
        <f>SUM(Tabela2[[#This Row],[Nota de Prioridade Quantitativa(NOTAS: 1 PIOR NOTA; 5 MELHOR NOTA)]],Tabela2[[#This Row],[Nota de Prioridade Qualitativa(NOTAS: 1 PIOR NOTA;  5 MELHOR NOTA)]])</f>
        <v/>
      </c>
      <c r="AQ192" s="64" t="n"/>
      <c r="AR192" s="64">
        <f>SUM(Tabela2[[#This Row],[Nota de Prioridade Quantitativa(NOTAS: 1 PIOR NOTA; 5 MELHOR NOTA)]],Tabela2[[#This Row],[Nota de Prioridade Qualitativa(NOTAS: 1 PIOR NOTA;  5 MELHOR NOTA)]])</f>
        <v/>
      </c>
      <c r="AS192" s="7" t="n"/>
      <c r="BB192" t="n">
        <v>0</v>
      </c>
      <c r="BC192" t="n">
        <v>0</v>
      </c>
      <c r="BD192" t="n">
        <v>0</v>
      </c>
      <c r="BE192" t="n">
        <v>0</v>
      </c>
      <c r="BF192" t="inlineStr">
        <is>
          <t>CONFORME</t>
        </is>
      </c>
    </row>
    <row r="193" hidden="1" ht="21.75" customHeight="1" thickBot="1">
      <c r="A193" s="77" t="inlineStr">
        <is>
          <t>VGR</t>
        </is>
      </c>
      <c r="B193" t="inlineStr">
        <is>
          <t>Pico</t>
        </is>
      </c>
      <c r="C193" s="80" t="inlineStr">
        <is>
          <t>PM4365</t>
        </is>
      </c>
      <c r="D193" t="inlineStr">
        <is>
          <t>AFEX</t>
        </is>
      </c>
      <c r="E193" t="inlineStr">
        <is>
          <t>XCMG</t>
        </is>
      </c>
      <c r="F193" s="4" t="inlineStr">
        <is>
          <t>XCMG GR3505</t>
        </is>
      </c>
      <c r="G193" s="81">
        <f>IFERROR(IF(F193=$AB$2,"",VLOOKUP(F193,'DATASHEET EQUIPAMENTOS'!D:N,2,FALSE)),"")</f>
        <v/>
      </c>
      <c r="H193" s="82" t="n"/>
      <c r="I193" s="57">
        <f>_xlfn.XLOOKUP(Tabela2[[#This Row],[Modelo]],'DATASHEET EQUIPAMENTOS'!D:D,'DATASHEET EQUIPAMENTOS'!P:P,"",0,1)</f>
        <v/>
      </c>
      <c r="J193" s="81">
        <f>IF(F193=$Z$2,"",VLOOKUP(F193,'DATASHEET EQUIPAMENTOS'!D:N,3,FALSE))</f>
        <v/>
      </c>
      <c r="K193" s="85" t="n"/>
      <c r="L193" s="95">
        <f>IF(AZ193="CONFORME","CONFORME ✓","NÃO CONFORME ✗")</f>
        <v/>
      </c>
      <c r="M193" s="124">
        <f>IF(F193=$Z$2,"",VLOOKUP(F193,'DATASHEET EQUIPAMENTOS'!D:N,4,FALSE))</f>
        <v/>
      </c>
      <c r="N193" s="57" t="n"/>
      <c r="O193" s="125">
        <f>IF(F193=$Z$2,"",VLOOKUP(F193,'DATASHEET EQUIPAMENTOS'!D:N,5,FALSE))</f>
        <v/>
      </c>
      <c r="P193" s="57" t="n"/>
      <c r="Q193" s="56">
        <f>IF(F193=$Z$2,"",VLOOKUP(F193,'DATASHEET EQUIPAMENTOS'!D:N,6,FALSE))</f>
        <v/>
      </c>
      <c r="R193" s="57" t="n"/>
      <c r="S193" s="126">
        <f>IF(Tabela2[[#This Row],[Instalado Sensor Motor]]="Linear","CONFORME ✓",IF(SUM(M193,O193,Q193)&lt;SUM(N193,P193,R193),"CONFORME ✓",IF(SUM(M193,O193,Q193)=SUM(N193,P193,R193),"CONFORME ✓","NÃO CONFORME ✗")))</f>
        <v/>
      </c>
      <c r="T193" s="56">
        <f>IF(F193=$Z$2,"",VLOOKUP(F193,'DATASHEET EQUIPAMENTOS'!D:N,7,FALSE))</f>
        <v/>
      </c>
      <c r="U193" s="57" t="n"/>
      <c r="V193" s="56">
        <f>IF(F193=$Z$2,"",VLOOKUP(F193,'DATASHEET EQUIPAMENTOS'!D:N,8,FALSE))</f>
        <v/>
      </c>
      <c r="W193" s="57" t="n"/>
      <c r="X193" s="56">
        <f>IF(F193=$Z$2,"",VLOOKUP(F193,'DATASHEET EQUIPAMENTOS'!D:N,9,FALSE))</f>
        <v/>
      </c>
      <c r="Y193" s="57" t="n"/>
      <c r="Z193" s="57">
        <f>IF(SUM(T193,V193,X193)&lt;=SUM(U193,W193,Y193),"CONFORME ✓",IF(SUM(T193,V193,X193)&gt;SUM(U193,W193,Y193),"NÃO CONFORME ✗"))</f>
        <v/>
      </c>
      <c r="AA193" s="56">
        <f>IF(F193=$Z$2,"",VLOOKUP(F193,'DATASHEET EQUIPAMENTOS'!D:N,10,FALSE))</f>
        <v/>
      </c>
      <c r="AB193" s="57" t="n"/>
      <c r="AC193" s="56">
        <f>IF(F193=$Z$2,"",VLOOKUP(F193,'DATASHEET EQUIPAMENTOS'!D:N,11,FALSE))</f>
        <v/>
      </c>
      <c r="AD193" s="57" t="n"/>
      <c r="AE193" s="56">
        <f>IF(F193=$Z$2,"",VLOOKUP(F193,'DATASHEET EQUIPAMENTOS'!D:O,12,FALSE))</f>
        <v/>
      </c>
      <c r="AF193" s="57" t="n"/>
      <c r="AG193" s="127">
        <f>IF(SUM(AA193,AC193,AE193)&lt;=SUM(AB193,AD193,AF193),"CONFORME ✓",IF(SUM(AA193,AC193,AE193)&gt;SUM(AB193,AD193,AF193),"NÃO CONFORME ✗"))</f>
        <v/>
      </c>
      <c r="AH193" s="128" t="n"/>
      <c r="AI193" s="129" t="n"/>
      <c r="AJ193" s="130" t="n"/>
      <c r="AK193" s="131" t="n"/>
      <c r="AL193" s="58">
        <f>IFERROR(CALCULOS!H188,"NECESSÁRIO REVISAR DATASHEET")</f>
        <v/>
      </c>
      <c r="AM19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3" s="64">
        <f>SUM(Tabela2[[#This Row],[Nota de Prioridade Quantitativa(NOTAS: 1 PIOR NOTA; 5 MELHOR NOTA)]],Tabela2[[#This Row],[Nota de Prioridade Qualitativa(NOTAS: 1 PIOR NOTA;  5 MELHOR NOTA)]])</f>
        <v/>
      </c>
      <c r="AO193" s="7" t="n">
        <v>155024</v>
      </c>
      <c r="AP193" s="64">
        <f>SUM(Tabela2[[#This Row],[Nota de Prioridade Quantitativa(NOTAS: 1 PIOR NOTA; 5 MELHOR NOTA)]],Tabela2[[#This Row],[Nota de Prioridade Qualitativa(NOTAS: 1 PIOR NOTA;  5 MELHOR NOTA)]])</f>
        <v/>
      </c>
      <c r="AQ193" s="64" t="n"/>
      <c r="AR193" s="64">
        <f>SUM(Tabela2[[#This Row],[Nota de Prioridade Quantitativa(NOTAS: 1 PIOR NOTA; 5 MELHOR NOTA)]],Tabela2[[#This Row],[Nota de Prioridade Qualitativa(NOTAS: 1 PIOR NOTA;  5 MELHOR NOTA)]])</f>
        <v/>
      </c>
      <c r="AS193" s="7" t="n"/>
      <c r="BB193" t="n">
        <v>0</v>
      </c>
      <c r="BC193" t="n">
        <v>0</v>
      </c>
      <c r="BD193" t="n">
        <v>0</v>
      </c>
      <c r="BE193" t="n">
        <v>0</v>
      </c>
      <c r="BF193" t="inlineStr">
        <is>
          <t>CONFORME</t>
        </is>
      </c>
    </row>
    <row r="194" hidden="1" ht="21.75" customHeight="1" thickBot="1">
      <c r="A194" s="77" t="inlineStr">
        <is>
          <t>VGR</t>
        </is>
      </c>
      <c r="B194" t="inlineStr">
        <is>
          <t>Pico</t>
        </is>
      </c>
      <c r="C194" s="80" t="inlineStr">
        <is>
          <t>CA5407</t>
        </is>
      </c>
      <c r="D194" t="inlineStr">
        <is>
          <t>AFEX</t>
        </is>
      </c>
      <c r="E194" t="inlineStr">
        <is>
          <t>CATERPILLAR</t>
        </is>
      </c>
      <c r="F194" t="inlineStr">
        <is>
          <t>CAT 785C</t>
        </is>
      </c>
      <c r="G194" s="81">
        <f>IFERROR(IF(F194=$AB$2,"",VLOOKUP(F194,'DATASHEET EQUIPAMENTOS'!D:N,2,FALSE)),"")</f>
        <v/>
      </c>
      <c r="H194" s="82" t="n"/>
      <c r="I194" s="57">
        <f>_xlfn.XLOOKUP(Tabela2[[#This Row],[Modelo]],'DATASHEET EQUIPAMENTOS'!D:D,'DATASHEET EQUIPAMENTOS'!P:P,"",0,1)</f>
        <v/>
      </c>
      <c r="J194" s="81">
        <f>IF(F194=$Z$2,"",VLOOKUP(F194,'DATASHEET EQUIPAMENTOS'!D:N,3,FALSE))</f>
        <v/>
      </c>
      <c r="K194" s="85" t="n"/>
      <c r="L194" s="95">
        <f>IF(AZ194="CONFORME","CONFORME ✓","NÃO CONFORME ✗")</f>
        <v/>
      </c>
      <c r="M194" s="124">
        <f>IF(F194=$Z$2,"",VLOOKUP(F194,'DATASHEET EQUIPAMENTOS'!D:N,4,FALSE))</f>
        <v/>
      </c>
      <c r="N194" s="57" t="n"/>
      <c r="O194" s="125">
        <f>IF(F194=$Z$2,"",VLOOKUP(F194,'DATASHEET EQUIPAMENTOS'!D:N,5,FALSE))</f>
        <v/>
      </c>
      <c r="P194" s="57" t="n"/>
      <c r="Q194" s="56">
        <f>IF(F194=$Z$2,"",VLOOKUP(F194,'DATASHEET EQUIPAMENTOS'!D:N,6,FALSE))</f>
        <v/>
      </c>
      <c r="R194" s="57" t="n"/>
      <c r="S194" s="126">
        <f>IF(Tabela2[[#This Row],[Instalado Sensor Motor]]="Linear","CONFORME ✓",IF(SUM(M194,O194,Q194)&lt;SUM(N194,P194,R194),"CONFORME ✓",IF(SUM(M194,O194,Q194)=SUM(N194,P194,R194),"CONFORME ✓","NÃO CONFORME ✗")))</f>
        <v/>
      </c>
      <c r="T194" s="56">
        <f>IF(F194=$Z$2,"",VLOOKUP(F194,'DATASHEET EQUIPAMENTOS'!D:N,7,FALSE))</f>
        <v/>
      </c>
      <c r="U194" s="57" t="n"/>
      <c r="V194" s="56">
        <f>IF(F194=$Z$2,"",VLOOKUP(F194,'DATASHEET EQUIPAMENTOS'!D:N,8,FALSE))</f>
        <v/>
      </c>
      <c r="W194" s="57" t="n"/>
      <c r="X194" s="56">
        <f>IF(F194=$Z$2,"",VLOOKUP(F194,'DATASHEET EQUIPAMENTOS'!D:N,9,FALSE))</f>
        <v/>
      </c>
      <c r="Y194" s="57" t="n"/>
      <c r="Z194" s="57">
        <f>IF(SUM(T194,V194,X194)&lt;=SUM(U194,W194,Y194),"CONFORME ✓",IF(SUM(T194,V194,X194)&gt;SUM(U194,W194,Y194),"NÃO CONFORME ✗"))</f>
        <v/>
      </c>
      <c r="AA194" s="56">
        <f>IF(F194=$Z$2,"",VLOOKUP(F194,'DATASHEET EQUIPAMENTOS'!D:N,10,FALSE))</f>
        <v/>
      </c>
      <c r="AB194" s="57" t="n"/>
      <c r="AC194" s="56">
        <f>IF(F194=$Z$2,"",VLOOKUP(F194,'DATASHEET EQUIPAMENTOS'!D:N,11,FALSE))</f>
        <v/>
      </c>
      <c r="AD194" s="57" t="n"/>
      <c r="AE194" s="56">
        <f>IF(F194=$Z$2,"",VLOOKUP(F194,'DATASHEET EQUIPAMENTOS'!D:O,12,FALSE))</f>
        <v/>
      </c>
      <c r="AF194" s="57" t="n"/>
      <c r="AG194" s="127">
        <f>IF(SUM(AA194,AC194,AE194)&lt;=SUM(AB194,AD194,AF194),"CONFORME ✓",IF(SUM(AA194,AC194,AE194)&gt;SUM(AB194,AD194,AF194),"NÃO CONFORME ✗"))</f>
        <v/>
      </c>
      <c r="AH194" s="128" t="n"/>
      <c r="AI194" s="129" t="n"/>
      <c r="AJ194" s="130" t="n"/>
      <c r="AK194" s="131" t="n"/>
      <c r="AL194" s="58">
        <f>IFERROR(CALCULOS!H189,"NECESSÁRIO REVISAR DATASHEET")</f>
        <v/>
      </c>
      <c r="AM19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4" s="64">
        <f>SUM(Tabela2[[#This Row],[Nota de Prioridade Quantitativa(NOTAS: 1 PIOR NOTA; 5 MELHOR NOTA)]],Tabela2[[#This Row],[Nota de Prioridade Qualitativa(NOTAS: 1 PIOR NOTA;  5 MELHOR NOTA)]])</f>
        <v/>
      </c>
      <c r="AO194" s="7" t="n">
        <v>154995</v>
      </c>
      <c r="AP194" s="64">
        <f>SUM(Tabela2[[#This Row],[Nota de Prioridade Quantitativa(NOTAS: 1 PIOR NOTA; 5 MELHOR NOTA)]],Tabela2[[#This Row],[Nota de Prioridade Qualitativa(NOTAS: 1 PIOR NOTA;  5 MELHOR NOTA)]])</f>
        <v/>
      </c>
      <c r="AQ194" s="64" t="n"/>
      <c r="AR194" s="64">
        <f>SUM(Tabela2[[#This Row],[Nota de Prioridade Quantitativa(NOTAS: 1 PIOR NOTA; 5 MELHOR NOTA)]],Tabela2[[#This Row],[Nota de Prioridade Qualitativa(NOTAS: 1 PIOR NOTA;  5 MELHOR NOTA)]])</f>
        <v/>
      </c>
      <c r="AS194" s="7" t="n"/>
      <c r="BB194" t="n">
        <v>0</v>
      </c>
      <c r="BC194" t="n">
        <v>0</v>
      </c>
      <c r="BD194" t="n">
        <v>0</v>
      </c>
      <c r="BE194" t="n">
        <v>0</v>
      </c>
      <c r="BF194" t="inlineStr">
        <is>
          <t>CONFORME</t>
        </is>
      </c>
    </row>
    <row r="195" hidden="1" ht="21.75" customHeight="1" thickBot="1">
      <c r="A195" s="77" t="inlineStr">
        <is>
          <t>VGR</t>
        </is>
      </c>
      <c r="B195" t="inlineStr">
        <is>
          <t>Pico</t>
        </is>
      </c>
      <c r="C195" s="80" t="inlineStr">
        <is>
          <t>CA5488</t>
        </is>
      </c>
      <c r="D195" t="inlineStr">
        <is>
          <t>AFEX</t>
        </is>
      </c>
      <c r="E195" t="inlineStr">
        <is>
          <t>CATERPILLAR</t>
        </is>
      </c>
      <c r="F195" t="inlineStr">
        <is>
          <t>CAT 789D</t>
        </is>
      </c>
      <c r="G195" s="81">
        <f>IFERROR(IF(F195=$AB$2,"",VLOOKUP(F195,'DATASHEET EQUIPAMENTOS'!D:N,2,FALSE)),"")</f>
        <v/>
      </c>
      <c r="H195" s="82" t="n"/>
      <c r="I195" s="57">
        <f>_xlfn.XLOOKUP(Tabela2[[#This Row],[Modelo]],'DATASHEET EQUIPAMENTOS'!D:D,'DATASHEET EQUIPAMENTOS'!P:P,"",0,1)</f>
        <v/>
      </c>
      <c r="J195" s="81">
        <f>IF(F195=$Z$2,"",VLOOKUP(F195,'DATASHEET EQUIPAMENTOS'!D:N,3,FALSE))</f>
        <v/>
      </c>
      <c r="K195" s="85" t="n"/>
      <c r="L195" s="95">
        <f>IF(AZ195="CONFORME","CONFORME ✓","NÃO CONFORME ✗")</f>
        <v/>
      </c>
      <c r="M195" s="124">
        <f>IF(F195=$Z$2,"",VLOOKUP(F195,'DATASHEET EQUIPAMENTOS'!D:N,4,FALSE))</f>
        <v/>
      </c>
      <c r="N195" s="57" t="n"/>
      <c r="O195" s="125">
        <f>IF(F195=$Z$2,"",VLOOKUP(F195,'DATASHEET EQUIPAMENTOS'!D:N,5,FALSE))</f>
        <v/>
      </c>
      <c r="P195" s="57" t="n"/>
      <c r="Q195" s="56">
        <f>IF(F195=$Z$2,"",VLOOKUP(F195,'DATASHEET EQUIPAMENTOS'!D:N,6,FALSE))</f>
        <v/>
      </c>
      <c r="R195" s="57" t="n"/>
      <c r="S195" s="126">
        <f>IF(Tabela2[[#This Row],[Instalado Sensor Motor]]="Linear","CONFORME ✓",IF(SUM(M195,O195,Q195)&lt;SUM(N195,P195,R195),"CONFORME ✓",IF(SUM(M195,O195,Q195)=SUM(N195,P195,R195),"CONFORME ✓","NÃO CONFORME ✗")))</f>
        <v/>
      </c>
      <c r="T195" s="56">
        <f>IF(F195=$Z$2,"",VLOOKUP(F195,'DATASHEET EQUIPAMENTOS'!D:N,7,FALSE))</f>
        <v/>
      </c>
      <c r="U195" s="57" t="n"/>
      <c r="V195" s="56">
        <f>IF(F195=$Z$2,"",VLOOKUP(F195,'DATASHEET EQUIPAMENTOS'!D:N,8,FALSE))</f>
        <v/>
      </c>
      <c r="W195" s="57" t="n"/>
      <c r="X195" s="56">
        <f>IF(F195=$Z$2,"",VLOOKUP(F195,'DATASHEET EQUIPAMENTOS'!D:N,9,FALSE))</f>
        <v/>
      </c>
      <c r="Y195" s="57" t="n"/>
      <c r="Z195" s="57">
        <f>IF(SUM(T195,V195,X195)&lt;=SUM(U195,W195,Y195),"CONFORME ✓",IF(SUM(T195,V195,X195)&gt;SUM(U195,W195,Y195),"NÃO CONFORME ✗"))</f>
        <v/>
      </c>
      <c r="AA195" s="56">
        <f>IF(F195=$Z$2,"",VLOOKUP(F195,'DATASHEET EQUIPAMENTOS'!D:N,10,FALSE))</f>
        <v/>
      </c>
      <c r="AB195" s="57" t="n"/>
      <c r="AC195" s="56">
        <f>IF(F195=$Z$2,"",VLOOKUP(F195,'DATASHEET EQUIPAMENTOS'!D:N,11,FALSE))</f>
        <v/>
      </c>
      <c r="AD195" s="57" t="n"/>
      <c r="AE195" s="56">
        <f>IF(F195=$Z$2,"",VLOOKUP(F195,'DATASHEET EQUIPAMENTOS'!D:O,12,FALSE))</f>
        <v/>
      </c>
      <c r="AF195" s="57" t="n"/>
      <c r="AG195" s="127">
        <f>IF(SUM(AA195,AC195,AE195)&lt;=SUM(AB195,AD195,AF195),"CONFORME ✓",IF(SUM(AA195,AC195,AE195)&gt;SUM(AB195,AD195,AF195),"NÃO CONFORME ✗"))</f>
        <v/>
      </c>
      <c r="AH195" s="128" t="n"/>
      <c r="AI195" s="129" t="n"/>
      <c r="AJ195" s="130" t="n"/>
      <c r="AK195" s="131" t="n"/>
      <c r="AL195" s="58">
        <f>IFERROR(CALCULOS!H190,"NECESSÁRIO REVISAR DATASHEET")</f>
        <v/>
      </c>
      <c r="AM19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5" s="64">
        <f>SUM(Tabela2[[#This Row],[Nota de Prioridade Quantitativa(NOTAS: 1 PIOR NOTA; 5 MELHOR NOTA)]],Tabela2[[#This Row],[Nota de Prioridade Qualitativa(NOTAS: 1 PIOR NOTA;  5 MELHOR NOTA)]])</f>
        <v/>
      </c>
      <c r="AO195" s="7" t="n">
        <v>154994</v>
      </c>
      <c r="AP195" s="64">
        <f>SUM(Tabela2[[#This Row],[Nota de Prioridade Quantitativa(NOTAS: 1 PIOR NOTA; 5 MELHOR NOTA)]],Tabela2[[#This Row],[Nota de Prioridade Qualitativa(NOTAS: 1 PIOR NOTA;  5 MELHOR NOTA)]])</f>
        <v/>
      </c>
      <c r="AQ195" s="64" t="n"/>
      <c r="AR195" s="64">
        <f>SUM(Tabela2[[#This Row],[Nota de Prioridade Quantitativa(NOTAS: 1 PIOR NOTA; 5 MELHOR NOTA)]],Tabela2[[#This Row],[Nota de Prioridade Qualitativa(NOTAS: 1 PIOR NOTA;  5 MELHOR NOTA)]])</f>
        <v/>
      </c>
      <c r="AS195" s="7" t="n"/>
      <c r="BB195" t="n">
        <v>0</v>
      </c>
      <c r="BC195" t="n">
        <v>0</v>
      </c>
      <c r="BD195" t="n">
        <v>0</v>
      </c>
      <c r="BE195" t="n">
        <v>0</v>
      </c>
      <c r="BF195" t="inlineStr">
        <is>
          <t>CONFORME</t>
        </is>
      </c>
    </row>
    <row r="196" hidden="1" ht="21.75" customHeight="1" thickBot="1">
      <c r="A196" s="77" t="inlineStr">
        <is>
          <t>VGR</t>
        </is>
      </c>
      <c r="B196" t="inlineStr">
        <is>
          <t>Pico</t>
        </is>
      </c>
      <c r="C196" s="80" t="inlineStr">
        <is>
          <t>MN3502</t>
        </is>
      </c>
      <c r="D196" t="inlineStr">
        <is>
          <t>AFEX</t>
        </is>
      </c>
      <c r="E196" t="inlineStr">
        <is>
          <t>XCMG</t>
        </is>
      </c>
      <c r="F196" s="4" t="inlineStr">
        <is>
          <t>XCMG GR3505</t>
        </is>
      </c>
      <c r="G196" s="81">
        <f>IFERROR(IF(F196=$AB$2,"",VLOOKUP(F196,'DATASHEET EQUIPAMENTOS'!D:N,2,FALSE)),"")</f>
        <v/>
      </c>
      <c r="H196" s="82" t="n"/>
      <c r="I196" s="57">
        <f>_xlfn.XLOOKUP(Tabela2[[#This Row],[Modelo]],'DATASHEET EQUIPAMENTOS'!D:D,'DATASHEET EQUIPAMENTOS'!P:P,"",0,1)</f>
        <v/>
      </c>
      <c r="J196" s="81">
        <f>IF(F196=$Z$2,"",VLOOKUP(F196,'DATASHEET EQUIPAMENTOS'!D:N,3,FALSE))</f>
        <v/>
      </c>
      <c r="K196" s="85" t="n"/>
      <c r="L196" s="95">
        <f>IF(AZ196="CONFORME","CONFORME ✓","NÃO CONFORME ✗")</f>
        <v/>
      </c>
      <c r="M196" s="124">
        <f>IF(F196=$Z$2,"",VLOOKUP(F196,'DATASHEET EQUIPAMENTOS'!D:N,4,FALSE))</f>
        <v/>
      </c>
      <c r="N196" s="57" t="n"/>
      <c r="O196" s="125">
        <f>IF(F196=$Z$2,"",VLOOKUP(F196,'DATASHEET EQUIPAMENTOS'!D:N,5,FALSE))</f>
        <v/>
      </c>
      <c r="P196" s="57" t="n"/>
      <c r="Q196" s="56">
        <f>IF(F196=$Z$2,"",VLOOKUP(F196,'DATASHEET EQUIPAMENTOS'!D:N,6,FALSE))</f>
        <v/>
      </c>
      <c r="R196" s="57" t="n"/>
      <c r="S196" s="126">
        <f>IF(Tabela2[[#This Row],[Instalado Sensor Motor]]="Linear","CONFORME ✓",IF(SUM(M196,O196,Q196)&lt;SUM(N196,P196,R196),"CONFORME ✓",IF(SUM(M196,O196,Q196)=SUM(N196,P196,R196),"CONFORME ✓","NÃO CONFORME ✗")))</f>
        <v/>
      </c>
      <c r="T196" s="56">
        <f>IF(F196=$Z$2,"",VLOOKUP(F196,'DATASHEET EQUIPAMENTOS'!D:N,7,FALSE))</f>
        <v/>
      </c>
      <c r="U196" s="57" t="n"/>
      <c r="V196" s="56">
        <f>IF(F196=$Z$2,"",VLOOKUP(F196,'DATASHEET EQUIPAMENTOS'!D:N,8,FALSE))</f>
        <v/>
      </c>
      <c r="W196" s="57" t="n"/>
      <c r="X196" s="56">
        <f>IF(F196=$Z$2,"",VLOOKUP(F196,'DATASHEET EQUIPAMENTOS'!D:N,9,FALSE))</f>
        <v/>
      </c>
      <c r="Y196" s="57" t="n"/>
      <c r="Z196" s="57">
        <f>IF(SUM(T196,V196,X196)&lt;=SUM(U196,W196,Y196),"CONFORME ✓",IF(SUM(T196,V196,X196)&gt;SUM(U196,W196,Y196),"NÃO CONFORME ✗"))</f>
        <v/>
      </c>
      <c r="AA196" s="56">
        <f>IF(F196=$Z$2,"",VLOOKUP(F196,'DATASHEET EQUIPAMENTOS'!D:N,10,FALSE))</f>
        <v/>
      </c>
      <c r="AB196" s="57" t="n"/>
      <c r="AC196" s="56">
        <f>IF(F196=$Z$2,"",VLOOKUP(F196,'DATASHEET EQUIPAMENTOS'!D:N,11,FALSE))</f>
        <v/>
      </c>
      <c r="AD196" s="57" t="n"/>
      <c r="AE196" s="56">
        <f>IF(F196=$Z$2,"",VLOOKUP(F196,'DATASHEET EQUIPAMENTOS'!D:O,12,FALSE))</f>
        <v/>
      </c>
      <c r="AF196" s="57" t="n"/>
      <c r="AG196" s="127">
        <f>IF(SUM(AA196,AC196,AE196)&lt;=SUM(AB196,AD196,AF196),"CONFORME ✓",IF(SUM(AA196,AC196,AE196)&gt;SUM(AB196,AD196,AF196),"NÃO CONFORME ✗"))</f>
        <v/>
      </c>
      <c r="AH196" s="128" t="n"/>
      <c r="AI196" s="129" t="n"/>
      <c r="AJ196" s="130" t="n"/>
      <c r="AK196" s="131" t="n"/>
      <c r="AL196" s="58">
        <f>IFERROR(CALCULOS!H191,"NECESSÁRIO REVISAR DATASHEET")</f>
        <v/>
      </c>
      <c r="AM19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6" s="64">
        <f>SUM(Tabela2[[#This Row],[Nota de Prioridade Quantitativa(NOTAS: 1 PIOR NOTA; 5 MELHOR NOTA)]],Tabela2[[#This Row],[Nota de Prioridade Qualitativa(NOTAS: 1 PIOR NOTA;  5 MELHOR NOTA)]])</f>
        <v/>
      </c>
      <c r="AO196" s="7" t="n">
        <v>154992</v>
      </c>
      <c r="AP196" s="64">
        <f>SUM(Tabela2[[#This Row],[Nota de Prioridade Quantitativa(NOTAS: 1 PIOR NOTA; 5 MELHOR NOTA)]],Tabela2[[#This Row],[Nota de Prioridade Qualitativa(NOTAS: 1 PIOR NOTA;  5 MELHOR NOTA)]])</f>
        <v/>
      </c>
      <c r="AQ196" s="64" t="n"/>
      <c r="AR196" s="64">
        <f>SUM(Tabela2[[#This Row],[Nota de Prioridade Quantitativa(NOTAS: 1 PIOR NOTA; 5 MELHOR NOTA)]],Tabela2[[#This Row],[Nota de Prioridade Qualitativa(NOTAS: 1 PIOR NOTA;  5 MELHOR NOTA)]])</f>
        <v/>
      </c>
      <c r="AS196" s="7" t="n"/>
      <c r="BB196" t="n">
        <v>0</v>
      </c>
      <c r="BC196" t="n">
        <v>0</v>
      </c>
      <c r="BD196" t="n">
        <v>0</v>
      </c>
      <c r="BE196" t="n">
        <v>0</v>
      </c>
      <c r="BF196" t="inlineStr">
        <is>
          <t>CONFORME</t>
        </is>
      </c>
    </row>
    <row r="197" hidden="1" ht="21.75" customHeight="1" thickBot="1">
      <c r="A197" s="77" t="inlineStr">
        <is>
          <t>VGR</t>
        </is>
      </c>
      <c r="B197" t="inlineStr">
        <is>
          <t>Pico</t>
        </is>
      </c>
      <c r="C197" s="80" t="inlineStr">
        <is>
          <t>PF1108</t>
        </is>
      </c>
      <c r="D197" t="inlineStr">
        <is>
          <t>KIDDE</t>
        </is>
      </c>
      <c r="E197" t="inlineStr">
        <is>
          <t>CATERPILLAR</t>
        </is>
      </c>
      <c r="F197" t="inlineStr">
        <is>
          <t>CAT MD6290</t>
        </is>
      </c>
      <c r="G197" s="81">
        <f>IFERROR(IF(F197=$AB$2,"",VLOOKUP(F197,'DATASHEET EQUIPAMENTOS'!D:N,2,FALSE)),"")</f>
        <v/>
      </c>
      <c r="H197" s="82" t="n"/>
      <c r="I197" s="57">
        <f>_xlfn.XLOOKUP(Tabela2[[#This Row],[Modelo]],'DATASHEET EQUIPAMENTOS'!D:D,'DATASHEET EQUIPAMENTOS'!P:P,"",0,1)</f>
        <v/>
      </c>
      <c r="J197" s="81">
        <f>IF(F197=$Z$2,"",VLOOKUP(F197,'DATASHEET EQUIPAMENTOS'!D:N,3,FALSE))</f>
        <v/>
      </c>
      <c r="K197" s="85" t="n"/>
      <c r="L197" s="95">
        <f>IF(AZ197="CONFORME","CONFORME ✓","NÃO CONFORME ✗")</f>
        <v/>
      </c>
      <c r="M197" s="124">
        <f>IF(F197=$Z$2,"",VLOOKUP(F197,'DATASHEET EQUIPAMENTOS'!D:N,4,FALSE))</f>
        <v/>
      </c>
      <c r="N197" s="57" t="n"/>
      <c r="O197" s="125">
        <f>IF(F197=$Z$2,"",VLOOKUP(F197,'DATASHEET EQUIPAMENTOS'!D:N,5,FALSE))</f>
        <v/>
      </c>
      <c r="P197" s="57" t="n"/>
      <c r="Q197" s="56">
        <f>IF(F197=$Z$2,"",VLOOKUP(F197,'DATASHEET EQUIPAMENTOS'!D:N,6,FALSE))</f>
        <v/>
      </c>
      <c r="R197" s="57" t="n"/>
      <c r="S197" s="126">
        <f>IF(Tabela2[[#This Row],[Instalado Sensor Motor]]="Linear","CONFORME ✓",IF(SUM(M197,O197,Q197)&lt;SUM(N197,P197,R197),"CONFORME ✓",IF(SUM(M197,O197,Q197)=SUM(N197,P197,R197),"CONFORME ✓","NÃO CONFORME ✗")))</f>
        <v/>
      </c>
      <c r="T197" s="56">
        <f>IF(F197=$Z$2,"",VLOOKUP(F197,'DATASHEET EQUIPAMENTOS'!D:N,7,FALSE))</f>
        <v/>
      </c>
      <c r="U197" s="57" t="n"/>
      <c r="V197" s="56">
        <f>IF(F197=$Z$2,"",VLOOKUP(F197,'DATASHEET EQUIPAMENTOS'!D:N,8,FALSE))</f>
        <v/>
      </c>
      <c r="W197" s="57" t="n"/>
      <c r="X197" s="56">
        <f>IF(F197=$Z$2,"",VLOOKUP(F197,'DATASHEET EQUIPAMENTOS'!D:N,9,FALSE))</f>
        <v/>
      </c>
      <c r="Y197" s="57" t="n"/>
      <c r="Z197" s="57">
        <f>IF(SUM(T197,V197,X197)&lt;=SUM(U197,W197,Y197),"CONFORME ✓",IF(SUM(T197,V197,X197)&gt;SUM(U197,W197,Y197),"NÃO CONFORME ✗"))</f>
        <v/>
      </c>
      <c r="AA197" s="56">
        <f>IF(F197=$Z$2,"",VLOOKUP(F197,'DATASHEET EQUIPAMENTOS'!D:N,10,FALSE))</f>
        <v/>
      </c>
      <c r="AB197" s="57" t="n"/>
      <c r="AC197" s="56">
        <f>IF(F197=$Z$2,"",VLOOKUP(F197,'DATASHEET EQUIPAMENTOS'!D:N,11,FALSE))</f>
        <v/>
      </c>
      <c r="AD197" s="57" t="n"/>
      <c r="AE197" s="56">
        <f>IF(F197=$Z$2,"",VLOOKUP(F197,'DATASHEET EQUIPAMENTOS'!D:O,12,FALSE))</f>
        <v/>
      </c>
      <c r="AF197" s="57" t="n"/>
      <c r="AG197" s="127">
        <f>IF(SUM(AA197,AC197,AE197)&lt;=SUM(AB197,AD197,AF197),"CONFORME ✓",IF(SUM(AA197,AC197,AE197)&gt;SUM(AB197,AD197,AF197),"NÃO CONFORME ✗"))</f>
        <v/>
      </c>
      <c r="AH197" s="128" t="n"/>
      <c r="AI197" s="129" t="n"/>
      <c r="AJ197" s="130" t="n"/>
      <c r="AK197" s="131" t="n"/>
      <c r="AL197" s="58">
        <f>IFERROR(CALCULOS!H192,"NECESSÁRIO REVISAR DATASHEET")</f>
        <v/>
      </c>
      <c r="AM19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7" s="64">
        <f>SUM(Tabela2[[#This Row],[Nota de Prioridade Quantitativa(NOTAS: 1 PIOR NOTA; 5 MELHOR NOTA)]],Tabela2[[#This Row],[Nota de Prioridade Qualitativa(NOTAS: 1 PIOR NOTA;  5 MELHOR NOTA)]])</f>
        <v/>
      </c>
      <c r="AO197" s="7" t="n">
        <v>154912</v>
      </c>
      <c r="AP197" s="64">
        <f>SUM(Tabela2[[#This Row],[Nota de Prioridade Quantitativa(NOTAS: 1 PIOR NOTA; 5 MELHOR NOTA)]],Tabela2[[#This Row],[Nota de Prioridade Qualitativa(NOTAS: 1 PIOR NOTA;  5 MELHOR NOTA)]])</f>
        <v/>
      </c>
      <c r="AQ197" s="64" t="n"/>
      <c r="AR197" s="64">
        <f>SUM(Tabela2[[#This Row],[Nota de Prioridade Quantitativa(NOTAS: 1 PIOR NOTA; 5 MELHOR NOTA)]],Tabela2[[#This Row],[Nota de Prioridade Qualitativa(NOTAS: 1 PIOR NOTA;  5 MELHOR NOTA)]])</f>
        <v/>
      </c>
      <c r="AS197" s="7" t="n"/>
      <c r="BB197" t="n">
        <v>0</v>
      </c>
      <c r="BC197" t="n">
        <v>0</v>
      </c>
      <c r="BD197" t="n">
        <v>0</v>
      </c>
      <c r="BE197" t="n">
        <v>0</v>
      </c>
      <c r="BF197" t="inlineStr">
        <is>
          <t>CONFORME</t>
        </is>
      </c>
    </row>
    <row r="198" hidden="1" ht="21.75" customHeight="1" thickBot="1">
      <c r="A198" s="77" t="inlineStr">
        <is>
          <t>VGR</t>
        </is>
      </c>
      <c r="B198" t="inlineStr">
        <is>
          <t>Pico</t>
        </is>
      </c>
      <c r="C198" s="80" t="inlineStr">
        <is>
          <t>PM4352</t>
        </is>
      </c>
      <c r="D198" t="inlineStr">
        <is>
          <t>AFEX</t>
        </is>
      </c>
      <c r="E198" t="inlineStr">
        <is>
          <t>CATERPILLAR</t>
        </is>
      </c>
      <c r="F198" t="inlineStr">
        <is>
          <t>CAT 980L</t>
        </is>
      </c>
      <c r="G198" s="81">
        <f>IFERROR(IF(F198=$AB$2,"",VLOOKUP(F198,'DATASHEET EQUIPAMENTOS'!D:N,2,FALSE)),"")</f>
        <v/>
      </c>
      <c r="H198" s="82" t="n"/>
      <c r="I198" s="57">
        <f>_xlfn.XLOOKUP(Tabela2[[#This Row],[Modelo]],'DATASHEET EQUIPAMENTOS'!D:D,'DATASHEET EQUIPAMENTOS'!P:P,"",0,1)</f>
        <v/>
      </c>
      <c r="J198" s="81">
        <f>IF(F198=$Z$2,"",VLOOKUP(F198,'DATASHEET EQUIPAMENTOS'!D:N,3,FALSE))</f>
        <v/>
      </c>
      <c r="K198" s="85" t="n"/>
      <c r="L198" s="95">
        <f>IF(AZ198="CONFORME","CONFORME ✓","NÃO CONFORME ✗")</f>
        <v/>
      </c>
      <c r="M198" s="124">
        <f>IF(F198=$Z$2,"",VLOOKUP(F198,'DATASHEET EQUIPAMENTOS'!D:N,4,FALSE))</f>
        <v/>
      </c>
      <c r="N198" s="57" t="n"/>
      <c r="O198" s="125">
        <f>IF(F198=$Z$2,"",VLOOKUP(F198,'DATASHEET EQUIPAMENTOS'!D:N,5,FALSE))</f>
        <v/>
      </c>
      <c r="P198" s="57" t="n"/>
      <c r="Q198" s="56">
        <f>IF(F198=$Z$2,"",VLOOKUP(F198,'DATASHEET EQUIPAMENTOS'!D:N,6,FALSE))</f>
        <v/>
      </c>
      <c r="R198" s="57" t="n"/>
      <c r="S198" s="126">
        <f>IF(Tabela2[[#This Row],[Instalado Sensor Motor]]="Linear","CONFORME ✓",IF(SUM(M198,O198,Q198)&lt;SUM(N198,P198,R198),"CONFORME ✓",IF(SUM(M198,O198,Q198)=SUM(N198,P198,R198),"CONFORME ✓","NÃO CONFORME ✗")))</f>
        <v/>
      </c>
      <c r="T198" s="56">
        <f>IF(F198=$Z$2,"",VLOOKUP(F198,'DATASHEET EQUIPAMENTOS'!D:N,7,FALSE))</f>
        <v/>
      </c>
      <c r="U198" s="57" t="n"/>
      <c r="V198" s="56">
        <f>IF(F198=$Z$2,"",VLOOKUP(F198,'DATASHEET EQUIPAMENTOS'!D:N,8,FALSE))</f>
        <v/>
      </c>
      <c r="W198" s="57" t="n"/>
      <c r="X198" s="56">
        <f>IF(F198=$Z$2,"",VLOOKUP(F198,'DATASHEET EQUIPAMENTOS'!D:N,9,FALSE))</f>
        <v/>
      </c>
      <c r="Y198" s="57" t="n"/>
      <c r="Z198" s="57">
        <f>IF(SUM(T198,V198,X198)&lt;=SUM(U198,W198,Y198),"CONFORME ✓",IF(SUM(T198,V198,X198)&gt;SUM(U198,W198,Y198),"NÃO CONFORME ✗"))</f>
        <v/>
      </c>
      <c r="AA198" s="56">
        <f>IF(F198=$Z$2,"",VLOOKUP(F198,'DATASHEET EQUIPAMENTOS'!D:N,10,FALSE))</f>
        <v/>
      </c>
      <c r="AB198" s="57" t="n"/>
      <c r="AC198" s="56">
        <f>IF(F198=$Z$2,"",VLOOKUP(F198,'DATASHEET EQUIPAMENTOS'!D:N,11,FALSE))</f>
        <v/>
      </c>
      <c r="AD198" s="57" t="n"/>
      <c r="AE198" s="56">
        <f>IF(F198=$Z$2,"",VLOOKUP(F198,'DATASHEET EQUIPAMENTOS'!D:O,12,FALSE))</f>
        <v/>
      </c>
      <c r="AF198" s="57" t="n"/>
      <c r="AG198" s="127">
        <f>IF(SUM(AA198,AC198,AE198)&lt;=SUM(AB198,AD198,AF198),"CONFORME ✓",IF(SUM(AA198,AC198,AE198)&gt;SUM(AB198,AD198,AF198),"NÃO CONFORME ✗"))</f>
        <v/>
      </c>
      <c r="AH198" s="128" t="n"/>
      <c r="AI198" s="129" t="n"/>
      <c r="AJ198" s="130" t="n"/>
      <c r="AK198" s="131" t="n"/>
      <c r="AL198" s="58">
        <f>IFERROR(CALCULOS!H193,"NECESSÁRIO REVISAR DATASHEET")</f>
        <v/>
      </c>
      <c r="AM19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8" s="64">
        <f>SUM(Tabela2[[#This Row],[Nota de Prioridade Quantitativa(NOTAS: 1 PIOR NOTA; 5 MELHOR NOTA)]],Tabela2[[#This Row],[Nota de Prioridade Qualitativa(NOTAS: 1 PIOR NOTA;  5 MELHOR NOTA)]])</f>
        <v/>
      </c>
      <c r="AO198" s="7" t="n">
        <v>154823</v>
      </c>
      <c r="AP198" s="64">
        <f>SUM(Tabela2[[#This Row],[Nota de Prioridade Quantitativa(NOTAS: 1 PIOR NOTA; 5 MELHOR NOTA)]],Tabela2[[#This Row],[Nota de Prioridade Qualitativa(NOTAS: 1 PIOR NOTA;  5 MELHOR NOTA)]])</f>
        <v/>
      </c>
      <c r="AQ198" s="64" t="n"/>
      <c r="AR198" s="64">
        <f>SUM(Tabela2[[#This Row],[Nota de Prioridade Quantitativa(NOTAS: 1 PIOR NOTA; 5 MELHOR NOTA)]],Tabela2[[#This Row],[Nota de Prioridade Qualitativa(NOTAS: 1 PIOR NOTA;  5 MELHOR NOTA)]])</f>
        <v/>
      </c>
      <c r="AS198" s="7" t="n"/>
      <c r="BB198" t="n">
        <v>0</v>
      </c>
      <c r="BC198" t="n">
        <v>0</v>
      </c>
      <c r="BD198" t="n">
        <v>0</v>
      </c>
      <c r="BE198" t="n">
        <v>0</v>
      </c>
      <c r="BF198" t="inlineStr">
        <is>
          <t>CONFORME</t>
        </is>
      </c>
    </row>
    <row r="199" hidden="1" ht="21.75" customHeight="1" thickBot="1">
      <c r="A199" s="77" t="inlineStr">
        <is>
          <t>VGR</t>
        </is>
      </c>
      <c r="B199" t="inlineStr">
        <is>
          <t>Pico</t>
        </is>
      </c>
      <c r="C199" s="80" t="inlineStr">
        <is>
          <t>TE2426</t>
        </is>
      </c>
      <c r="D199" t="inlineStr">
        <is>
          <t>AFEX</t>
        </is>
      </c>
      <c r="E199" t="inlineStr">
        <is>
          <t>CATERPILLAR</t>
        </is>
      </c>
      <c r="F199" t="inlineStr">
        <is>
          <t>CAT D10T</t>
        </is>
      </c>
      <c r="G199" s="81">
        <f>IFERROR(IF(F199=$AB$2,"",VLOOKUP(F199,'DATASHEET EQUIPAMENTOS'!D:N,2,FALSE)),"")</f>
        <v/>
      </c>
      <c r="H199" s="82" t="n"/>
      <c r="I199" s="57">
        <f>_xlfn.XLOOKUP(Tabela2[[#This Row],[Modelo]],'DATASHEET EQUIPAMENTOS'!D:D,'DATASHEET EQUIPAMENTOS'!P:P,"",0,1)</f>
        <v/>
      </c>
      <c r="J199" s="81">
        <f>IF(F199=$Z$2,"",VLOOKUP(F199,'DATASHEET EQUIPAMENTOS'!D:N,3,FALSE))</f>
        <v/>
      </c>
      <c r="K199" s="85" t="n"/>
      <c r="L199" s="95">
        <f>IF(AZ199="CONFORME","CONFORME ✓","NÃO CONFORME ✗")</f>
        <v/>
      </c>
      <c r="M199" s="124">
        <f>IF(F199=$Z$2,"",VLOOKUP(F199,'DATASHEET EQUIPAMENTOS'!D:N,4,FALSE))</f>
        <v/>
      </c>
      <c r="N199" s="57" t="n"/>
      <c r="O199" s="125">
        <f>IF(F199=$Z$2,"",VLOOKUP(F199,'DATASHEET EQUIPAMENTOS'!D:N,5,FALSE))</f>
        <v/>
      </c>
      <c r="P199" s="57" t="n"/>
      <c r="Q199" s="56">
        <f>IF(F199=$Z$2,"",VLOOKUP(F199,'DATASHEET EQUIPAMENTOS'!D:N,6,FALSE))</f>
        <v/>
      </c>
      <c r="R199" s="57" t="n"/>
      <c r="S199" s="126">
        <f>IF(Tabela2[[#This Row],[Instalado Sensor Motor]]="Linear","CONFORME ✓",IF(SUM(M199,O199,Q199)&lt;SUM(N199,P199,R199),"CONFORME ✓",IF(SUM(M199,O199,Q199)=SUM(N199,P199,R199),"CONFORME ✓","NÃO CONFORME ✗")))</f>
        <v/>
      </c>
      <c r="T199" s="56">
        <f>IF(F199=$Z$2,"",VLOOKUP(F199,'DATASHEET EQUIPAMENTOS'!D:N,7,FALSE))</f>
        <v/>
      </c>
      <c r="U199" s="57" t="n"/>
      <c r="V199" s="56">
        <f>IF(F199=$Z$2,"",VLOOKUP(F199,'DATASHEET EQUIPAMENTOS'!D:N,8,FALSE))</f>
        <v/>
      </c>
      <c r="W199" s="57" t="n"/>
      <c r="X199" s="56">
        <f>IF(F199=$Z$2,"",VLOOKUP(F199,'DATASHEET EQUIPAMENTOS'!D:N,9,FALSE))</f>
        <v/>
      </c>
      <c r="Y199" s="57" t="n"/>
      <c r="Z199" s="57">
        <f>IF(SUM(T199,V199,X199)&lt;=SUM(U199,W199,Y199),"CONFORME ✓",IF(SUM(T199,V199,X199)&gt;SUM(U199,W199,Y199),"NÃO CONFORME ✗"))</f>
        <v/>
      </c>
      <c r="AA199" s="56">
        <f>IF(F199=$Z$2,"",VLOOKUP(F199,'DATASHEET EQUIPAMENTOS'!D:N,10,FALSE))</f>
        <v/>
      </c>
      <c r="AB199" s="57" t="n"/>
      <c r="AC199" s="56">
        <f>IF(F199=$Z$2,"",VLOOKUP(F199,'DATASHEET EQUIPAMENTOS'!D:N,11,FALSE))</f>
        <v/>
      </c>
      <c r="AD199" s="57" t="n"/>
      <c r="AE199" s="56">
        <f>IF(F199=$Z$2,"",VLOOKUP(F199,'DATASHEET EQUIPAMENTOS'!D:O,12,FALSE))</f>
        <v/>
      </c>
      <c r="AF199" s="57" t="n"/>
      <c r="AG199" s="127">
        <f>IF(SUM(AA199,AC199,AE199)&lt;=SUM(AB199,AD199,AF199),"CONFORME ✓",IF(SUM(AA199,AC199,AE199)&gt;SUM(AB199,AD199,AF199),"NÃO CONFORME ✗"))</f>
        <v/>
      </c>
      <c r="AH199" s="128" t="n"/>
      <c r="AI199" s="129" t="n"/>
      <c r="AJ199" s="130" t="n"/>
      <c r="AK199" s="131" t="n"/>
      <c r="AL199" s="58">
        <f>IFERROR(CALCULOS!H194,"NECESSÁRIO REVISAR DATASHEET")</f>
        <v/>
      </c>
      <c r="AM19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199" s="64">
        <f>SUM(Tabela2[[#This Row],[Nota de Prioridade Quantitativa(NOTAS: 1 PIOR NOTA; 5 MELHOR NOTA)]],Tabela2[[#This Row],[Nota de Prioridade Qualitativa(NOTAS: 1 PIOR NOTA;  5 MELHOR NOTA)]])</f>
        <v/>
      </c>
      <c r="AO199" s="7" t="n">
        <v>154698</v>
      </c>
      <c r="AP199" s="64">
        <f>SUM(Tabela2[[#This Row],[Nota de Prioridade Quantitativa(NOTAS: 1 PIOR NOTA; 5 MELHOR NOTA)]],Tabela2[[#This Row],[Nota de Prioridade Qualitativa(NOTAS: 1 PIOR NOTA;  5 MELHOR NOTA)]])</f>
        <v/>
      </c>
      <c r="AQ199" s="64" t="n"/>
      <c r="AR199" s="64">
        <f>SUM(Tabela2[[#This Row],[Nota de Prioridade Quantitativa(NOTAS: 1 PIOR NOTA; 5 MELHOR NOTA)]],Tabela2[[#This Row],[Nota de Prioridade Qualitativa(NOTAS: 1 PIOR NOTA;  5 MELHOR NOTA)]])</f>
        <v/>
      </c>
      <c r="AS199" s="7" t="n"/>
      <c r="BB199" t="n">
        <v>0</v>
      </c>
      <c r="BC199" t="n">
        <v>0</v>
      </c>
      <c r="BD199" t="n">
        <v>0</v>
      </c>
      <c r="BE199" t="n">
        <v>0</v>
      </c>
      <c r="BF199" t="inlineStr">
        <is>
          <t>CONFORME</t>
        </is>
      </c>
    </row>
    <row r="200" hidden="1" ht="21.75" customHeight="1" thickBot="1">
      <c r="A200" s="77" t="inlineStr">
        <is>
          <t>VGR</t>
        </is>
      </c>
      <c r="B200" t="inlineStr">
        <is>
          <t>Pico</t>
        </is>
      </c>
      <c r="C200" s="80" t="inlineStr">
        <is>
          <t>PM4365</t>
        </is>
      </c>
      <c r="D200" t="inlineStr">
        <is>
          <t>AFEX</t>
        </is>
      </c>
      <c r="E200" t="inlineStr">
        <is>
          <t>CATERPILLAR</t>
        </is>
      </c>
      <c r="F200" t="inlineStr">
        <is>
          <t>CAT 824H</t>
        </is>
      </c>
      <c r="G200" s="81">
        <f>IFERROR(IF(F200=$AB$2,"",VLOOKUP(F200,'DATASHEET EQUIPAMENTOS'!D:N,2,FALSE)),"")</f>
        <v/>
      </c>
      <c r="H200" s="82" t="n"/>
      <c r="I200" s="57">
        <f>_xlfn.XLOOKUP(Tabela2[[#This Row],[Modelo]],'DATASHEET EQUIPAMENTOS'!D:D,'DATASHEET EQUIPAMENTOS'!P:P,"",0,1)</f>
        <v/>
      </c>
      <c r="J200" s="81">
        <f>IF(F200=$Z$2,"",VLOOKUP(F200,'DATASHEET EQUIPAMENTOS'!D:N,3,FALSE))</f>
        <v/>
      </c>
      <c r="K200" s="85" t="n"/>
      <c r="L200" s="95">
        <f>IF(AZ200="CONFORME","CONFORME ✓","NÃO CONFORME ✗")</f>
        <v/>
      </c>
      <c r="M200" s="124">
        <f>IF(F200=$Z$2,"",VLOOKUP(F200,'DATASHEET EQUIPAMENTOS'!D:N,4,FALSE))</f>
        <v/>
      </c>
      <c r="N200" s="57" t="n"/>
      <c r="O200" s="125">
        <f>IF(F200=$Z$2,"",VLOOKUP(F200,'DATASHEET EQUIPAMENTOS'!D:N,5,FALSE))</f>
        <v/>
      </c>
      <c r="P200" s="57" t="n"/>
      <c r="Q200" s="56">
        <f>IF(F200=$Z$2,"",VLOOKUP(F200,'DATASHEET EQUIPAMENTOS'!D:N,6,FALSE))</f>
        <v/>
      </c>
      <c r="R200" s="57" t="n"/>
      <c r="S200" s="126">
        <f>IF(Tabela2[[#This Row],[Instalado Sensor Motor]]="Linear","CONFORME ✓",IF(SUM(M200,O200,Q200)&lt;SUM(N200,P200,R200),"CONFORME ✓",IF(SUM(M200,O200,Q200)=SUM(N200,P200,R200),"CONFORME ✓","NÃO CONFORME ✗")))</f>
        <v/>
      </c>
      <c r="T200" s="56">
        <f>IF(F200=$Z$2,"",VLOOKUP(F200,'DATASHEET EQUIPAMENTOS'!D:N,7,FALSE))</f>
        <v/>
      </c>
      <c r="U200" s="57" t="n"/>
      <c r="V200" s="56">
        <f>IF(F200=$Z$2,"",VLOOKUP(F200,'DATASHEET EQUIPAMENTOS'!D:N,8,FALSE))</f>
        <v/>
      </c>
      <c r="W200" s="57" t="n"/>
      <c r="X200" s="56">
        <f>IF(F200=$Z$2,"",VLOOKUP(F200,'DATASHEET EQUIPAMENTOS'!D:N,9,FALSE))</f>
        <v/>
      </c>
      <c r="Y200" s="57" t="n"/>
      <c r="Z200" s="57">
        <f>IF(SUM(T200,V200,X200)&lt;=SUM(U200,W200,Y200),"CONFORME ✓",IF(SUM(T200,V200,X200)&gt;SUM(U200,W200,Y200),"NÃO CONFORME ✗"))</f>
        <v/>
      </c>
      <c r="AA200" s="56">
        <f>IF(F200=$Z$2,"",VLOOKUP(F200,'DATASHEET EQUIPAMENTOS'!D:N,10,FALSE))</f>
        <v/>
      </c>
      <c r="AB200" s="57" t="n"/>
      <c r="AC200" s="56">
        <f>IF(F200=$Z$2,"",VLOOKUP(F200,'DATASHEET EQUIPAMENTOS'!D:N,11,FALSE))</f>
        <v/>
      </c>
      <c r="AD200" s="57" t="n"/>
      <c r="AE200" s="56">
        <f>IF(F200=$Z$2,"",VLOOKUP(F200,'DATASHEET EQUIPAMENTOS'!D:O,12,FALSE))</f>
        <v/>
      </c>
      <c r="AF200" s="57" t="n"/>
      <c r="AG200" s="127">
        <f>IF(SUM(AA200,AC200,AE200)&lt;=SUM(AB200,AD200,AF200),"CONFORME ✓",IF(SUM(AA200,AC200,AE200)&gt;SUM(AB200,AD200,AF200),"NÃO CONFORME ✗"))</f>
        <v/>
      </c>
      <c r="AH200" s="128" t="n"/>
      <c r="AI200" s="129" t="n"/>
      <c r="AJ200" s="130" t="n"/>
      <c r="AK200" s="131" t="n"/>
      <c r="AL200" s="58">
        <f>IFERROR(CALCULOS!H195,"NECESSÁRIO REVISAR DATASHEET")</f>
        <v/>
      </c>
      <c r="AM20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0" s="64">
        <f>SUM(Tabela2[[#This Row],[Nota de Prioridade Quantitativa(NOTAS: 1 PIOR NOTA; 5 MELHOR NOTA)]],Tabela2[[#This Row],[Nota de Prioridade Qualitativa(NOTAS: 1 PIOR NOTA;  5 MELHOR NOTA)]])</f>
        <v/>
      </c>
      <c r="AO200" s="7" t="n">
        <v>154669</v>
      </c>
      <c r="AP200" s="64">
        <f>SUM(Tabela2[[#This Row],[Nota de Prioridade Quantitativa(NOTAS: 1 PIOR NOTA; 5 MELHOR NOTA)]],Tabela2[[#This Row],[Nota de Prioridade Qualitativa(NOTAS: 1 PIOR NOTA;  5 MELHOR NOTA)]])</f>
        <v/>
      </c>
      <c r="AQ200" s="64" t="n"/>
      <c r="AR200" s="64">
        <f>SUM(Tabela2[[#This Row],[Nota de Prioridade Quantitativa(NOTAS: 1 PIOR NOTA; 5 MELHOR NOTA)]],Tabela2[[#This Row],[Nota de Prioridade Qualitativa(NOTAS: 1 PIOR NOTA;  5 MELHOR NOTA)]])</f>
        <v/>
      </c>
      <c r="AS200" s="7" t="n"/>
      <c r="BB200" t="n">
        <v>0</v>
      </c>
      <c r="BC200" t="n">
        <v>0</v>
      </c>
      <c r="BD200" t="n">
        <v>0</v>
      </c>
      <c r="BE200" t="n">
        <v>0</v>
      </c>
      <c r="BF200" t="inlineStr">
        <is>
          <t>CONFORME</t>
        </is>
      </c>
    </row>
    <row r="201" hidden="1" ht="21.75" customHeight="1" thickBot="1">
      <c r="A201" s="77" t="inlineStr">
        <is>
          <t>VGR</t>
        </is>
      </c>
      <c r="B201" t="inlineStr">
        <is>
          <t>Pico</t>
        </is>
      </c>
      <c r="C201" s="80" t="inlineStr">
        <is>
          <t>PM4365</t>
        </is>
      </c>
      <c r="D201" t="inlineStr">
        <is>
          <t>AFEX</t>
        </is>
      </c>
      <c r="E201" t="inlineStr">
        <is>
          <t>CATERPILLAR</t>
        </is>
      </c>
      <c r="F201" t="inlineStr">
        <is>
          <t>CAT 980M</t>
        </is>
      </c>
      <c r="G201" s="81">
        <f>IFERROR(IF(F201=$AB$2,"",VLOOKUP(F201,'DATASHEET EQUIPAMENTOS'!D:N,2,FALSE)),"")</f>
        <v/>
      </c>
      <c r="H201" s="82" t="n"/>
      <c r="I201" s="57">
        <f>_xlfn.XLOOKUP(Tabela2[[#This Row],[Modelo]],'DATASHEET EQUIPAMENTOS'!D:D,'DATASHEET EQUIPAMENTOS'!P:P,"",0,1)</f>
        <v/>
      </c>
      <c r="J201" s="81">
        <f>IF(F201=$Z$2,"",VLOOKUP(F201,'DATASHEET EQUIPAMENTOS'!D:N,3,FALSE))</f>
        <v/>
      </c>
      <c r="K201" s="85" t="n"/>
      <c r="L201" s="95">
        <f>IF(AZ201="CONFORME","CONFORME ✓","NÃO CONFORME ✗")</f>
        <v/>
      </c>
      <c r="M201" s="124">
        <f>IF(F201=$Z$2,"",VLOOKUP(F201,'DATASHEET EQUIPAMENTOS'!D:N,4,FALSE))</f>
        <v/>
      </c>
      <c r="N201" s="57" t="n"/>
      <c r="O201" s="125">
        <f>IF(F201=$Z$2,"",VLOOKUP(F201,'DATASHEET EQUIPAMENTOS'!D:N,5,FALSE))</f>
        <v/>
      </c>
      <c r="P201" s="57" t="n"/>
      <c r="Q201" s="56">
        <f>IF(F201=$Z$2,"",VLOOKUP(F201,'DATASHEET EQUIPAMENTOS'!D:N,6,FALSE))</f>
        <v/>
      </c>
      <c r="R201" s="57" t="n"/>
      <c r="S201" s="126">
        <f>IF(Tabela2[[#This Row],[Instalado Sensor Motor]]="Linear","CONFORME ✓",IF(SUM(M201,O201,Q201)&lt;SUM(N201,P201,R201),"CONFORME ✓",IF(SUM(M201,O201,Q201)=SUM(N201,P201,R201),"CONFORME ✓","NÃO CONFORME ✗")))</f>
        <v/>
      </c>
      <c r="T201" s="56">
        <f>IF(F201=$Z$2,"",VLOOKUP(F201,'DATASHEET EQUIPAMENTOS'!D:N,7,FALSE))</f>
        <v/>
      </c>
      <c r="U201" s="57" t="n"/>
      <c r="V201" s="56">
        <f>IF(F201=$Z$2,"",VLOOKUP(F201,'DATASHEET EQUIPAMENTOS'!D:N,8,FALSE))</f>
        <v/>
      </c>
      <c r="W201" s="57" t="n"/>
      <c r="X201" s="56">
        <f>IF(F201=$Z$2,"",VLOOKUP(F201,'DATASHEET EQUIPAMENTOS'!D:N,9,FALSE))</f>
        <v/>
      </c>
      <c r="Y201" s="57" t="n"/>
      <c r="Z201" s="57">
        <f>IF(SUM(T201,V201,X201)&lt;=SUM(U201,W201,Y201),"CONFORME ✓",IF(SUM(T201,V201,X201)&gt;SUM(U201,W201,Y201),"NÃO CONFORME ✗"))</f>
        <v/>
      </c>
      <c r="AA201" s="56">
        <f>IF(F201=$Z$2,"",VLOOKUP(F201,'DATASHEET EQUIPAMENTOS'!D:N,10,FALSE))</f>
        <v/>
      </c>
      <c r="AB201" s="57" t="n"/>
      <c r="AC201" s="56">
        <f>IF(F201=$Z$2,"",VLOOKUP(F201,'DATASHEET EQUIPAMENTOS'!D:N,11,FALSE))</f>
        <v/>
      </c>
      <c r="AD201" s="57" t="n"/>
      <c r="AE201" s="56">
        <f>IF(F201=$Z$2,"",VLOOKUP(F201,'DATASHEET EQUIPAMENTOS'!D:O,12,FALSE))</f>
        <v/>
      </c>
      <c r="AF201" s="57" t="n"/>
      <c r="AG201" s="127">
        <f>IF(SUM(AA201,AC201,AE201)&lt;=SUM(AB201,AD201,AF201),"CONFORME ✓",IF(SUM(AA201,AC201,AE201)&gt;SUM(AB201,AD201,AF201),"NÃO CONFORME ✗"))</f>
        <v/>
      </c>
      <c r="AH201" s="128" t="n"/>
      <c r="AI201" s="129" t="n"/>
      <c r="AJ201" s="130" t="n"/>
      <c r="AK201" s="131" t="n"/>
      <c r="AL201" s="58">
        <f>IFERROR(CALCULOS!H196,"NECESSÁRIO REVISAR DATASHEET")</f>
        <v/>
      </c>
      <c r="AM20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1" s="64">
        <f>SUM(Tabela2[[#This Row],[Nota de Prioridade Quantitativa(NOTAS: 1 PIOR NOTA; 5 MELHOR NOTA)]],Tabela2[[#This Row],[Nota de Prioridade Qualitativa(NOTAS: 1 PIOR NOTA;  5 MELHOR NOTA)]])</f>
        <v/>
      </c>
      <c r="AO201" s="7" t="n">
        <v>154668</v>
      </c>
      <c r="AP201" s="64">
        <f>SUM(Tabela2[[#This Row],[Nota de Prioridade Quantitativa(NOTAS: 1 PIOR NOTA; 5 MELHOR NOTA)]],Tabela2[[#This Row],[Nota de Prioridade Qualitativa(NOTAS: 1 PIOR NOTA;  5 MELHOR NOTA)]])</f>
        <v/>
      </c>
      <c r="AQ201" s="64" t="n"/>
      <c r="AR201" s="64">
        <f>SUM(Tabela2[[#This Row],[Nota de Prioridade Quantitativa(NOTAS: 1 PIOR NOTA; 5 MELHOR NOTA)]],Tabela2[[#This Row],[Nota de Prioridade Qualitativa(NOTAS: 1 PIOR NOTA;  5 MELHOR NOTA)]])</f>
        <v/>
      </c>
      <c r="AS201" s="7" t="n"/>
      <c r="BB201" t="n">
        <v>0</v>
      </c>
      <c r="BC201" t="n">
        <v>0</v>
      </c>
      <c r="BD201" t="n">
        <v>0</v>
      </c>
      <c r="BE201" t="n">
        <v>0</v>
      </c>
      <c r="BF201" t="inlineStr">
        <is>
          <t>CONFORME</t>
        </is>
      </c>
    </row>
    <row r="202" hidden="1" ht="21.75" customHeight="1" thickBot="1">
      <c r="A202" s="77" t="inlineStr">
        <is>
          <t>Paraoupeba</t>
        </is>
      </c>
      <c r="B202" t="inlineStr">
        <is>
          <t>Horizontes</t>
        </is>
      </c>
      <c r="C202" s="80" t="inlineStr">
        <is>
          <t>PF1128</t>
        </is>
      </c>
      <c r="D202" t="inlineStr">
        <is>
          <t>KIDDE</t>
        </is>
      </c>
      <c r="E202" t="inlineStr">
        <is>
          <t>CATERPILLAR</t>
        </is>
      </c>
      <c r="F202" t="inlineStr">
        <is>
          <t>CAT MD6290</t>
        </is>
      </c>
      <c r="G202" s="81">
        <f>IFERROR(IF(F202=$AB$2,"",VLOOKUP(F202,'DATASHEET EQUIPAMENTOS'!D:N,2,FALSE)),"")</f>
        <v/>
      </c>
      <c r="H202" s="82" t="n"/>
      <c r="I202" s="57">
        <f>_xlfn.XLOOKUP(Tabela2[[#This Row],[Modelo]],'DATASHEET EQUIPAMENTOS'!D:D,'DATASHEET EQUIPAMENTOS'!P:P,"",0,1)</f>
        <v/>
      </c>
      <c r="J202" s="81">
        <f>IF(F202=$Z$2,"",VLOOKUP(F202,'DATASHEET EQUIPAMENTOS'!D:N,3,FALSE))</f>
        <v/>
      </c>
      <c r="K202" s="85" t="n"/>
      <c r="L202" s="95">
        <f>IF(AZ202="CONFORME","CONFORME ✓","NÃO CONFORME ✗")</f>
        <v/>
      </c>
      <c r="M202" s="124">
        <f>IF(F202=$Z$2,"",VLOOKUP(F202,'DATASHEET EQUIPAMENTOS'!D:N,4,FALSE))</f>
        <v/>
      </c>
      <c r="N202" s="57" t="n"/>
      <c r="O202" s="125">
        <f>IF(F202=$Z$2,"",VLOOKUP(F202,'DATASHEET EQUIPAMENTOS'!D:N,5,FALSE))</f>
        <v/>
      </c>
      <c r="P202" s="57" t="n"/>
      <c r="Q202" s="56">
        <f>IF(F202=$Z$2,"",VLOOKUP(F202,'DATASHEET EQUIPAMENTOS'!D:N,6,FALSE))</f>
        <v/>
      </c>
      <c r="R202" s="57" t="n"/>
      <c r="S202" s="126">
        <f>IF(Tabela2[[#This Row],[Instalado Sensor Motor]]="Linear","CONFORME ✓",IF(SUM(M202,O202,Q202)&lt;SUM(N202,P202,R202),"CONFORME ✓",IF(SUM(M202,O202,Q202)=SUM(N202,P202,R202),"CONFORME ✓","NÃO CONFORME ✗")))</f>
        <v/>
      </c>
      <c r="T202" s="56">
        <f>IF(F202=$Z$2,"",VLOOKUP(F202,'DATASHEET EQUIPAMENTOS'!D:N,7,FALSE))</f>
        <v/>
      </c>
      <c r="U202" s="57" t="n"/>
      <c r="V202" s="56">
        <f>IF(F202=$Z$2,"",VLOOKUP(F202,'DATASHEET EQUIPAMENTOS'!D:N,8,FALSE))</f>
        <v/>
      </c>
      <c r="W202" s="57" t="n"/>
      <c r="X202" s="56">
        <f>IF(F202=$Z$2,"",VLOOKUP(F202,'DATASHEET EQUIPAMENTOS'!D:N,9,FALSE))</f>
        <v/>
      </c>
      <c r="Y202" s="57" t="n"/>
      <c r="Z202" s="57">
        <f>IF(SUM(T202,V202,X202)&lt;=SUM(U202,W202,Y202),"CONFORME ✓",IF(SUM(T202,V202,X202)&gt;SUM(U202,W202,Y202),"NÃO CONFORME ✗"))</f>
        <v/>
      </c>
      <c r="AA202" s="56">
        <f>IF(F202=$Z$2,"",VLOOKUP(F202,'DATASHEET EQUIPAMENTOS'!D:N,10,FALSE))</f>
        <v/>
      </c>
      <c r="AB202" s="57" t="n"/>
      <c r="AC202" s="56">
        <f>IF(F202=$Z$2,"",VLOOKUP(F202,'DATASHEET EQUIPAMENTOS'!D:N,11,FALSE))</f>
        <v/>
      </c>
      <c r="AD202" s="57" t="n"/>
      <c r="AE202" s="56">
        <f>IF(F202=$Z$2,"",VLOOKUP(F202,'DATASHEET EQUIPAMENTOS'!D:O,12,FALSE))</f>
        <v/>
      </c>
      <c r="AF202" s="57" t="n"/>
      <c r="AG202" s="127">
        <f>IF(SUM(AA202,AC202,AE202)&lt;=SUM(AB202,AD202,AF202),"CONFORME ✓",IF(SUM(AA202,AC202,AE202)&gt;SUM(AB202,AD202,AF202),"NÃO CONFORME ✗"))</f>
        <v/>
      </c>
      <c r="AH202" s="128" t="n"/>
      <c r="AI202" s="129" t="n"/>
      <c r="AJ202" s="130" t="n"/>
      <c r="AK202" s="131" t="n"/>
      <c r="AL202" s="58">
        <f>IFERROR(CALCULOS!H197,"NECESSÁRIO REVISAR DATASHEET")</f>
        <v/>
      </c>
      <c r="AM20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2" s="64">
        <f>SUM(Tabela2[[#This Row],[Nota de Prioridade Quantitativa(NOTAS: 1 PIOR NOTA; 5 MELHOR NOTA)]],Tabela2[[#This Row],[Nota de Prioridade Qualitativa(NOTAS: 1 PIOR NOTA;  5 MELHOR NOTA)]])</f>
        <v/>
      </c>
      <c r="AO202" s="7" t="n">
        <v>154300</v>
      </c>
      <c r="AP202" s="64">
        <f>SUM(Tabela2[[#This Row],[Nota de Prioridade Quantitativa(NOTAS: 1 PIOR NOTA; 5 MELHOR NOTA)]],Tabela2[[#This Row],[Nota de Prioridade Qualitativa(NOTAS: 1 PIOR NOTA;  5 MELHOR NOTA)]])</f>
        <v/>
      </c>
      <c r="AQ202" s="64" t="n"/>
      <c r="AR202" s="64">
        <f>SUM(Tabela2[[#This Row],[Nota de Prioridade Quantitativa(NOTAS: 1 PIOR NOTA; 5 MELHOR NOTA)]],Tabela2[[#This Row],[Nota de Prioridade Qualitativa(NOTAS: 1 PIOR NOTA;  5 MELHOR NOTA)]])</f>
        <v/>
      </c>
      <c r="AS202" s="7" t="n"/>
      <c r="BB202" t="n">
        <v>0</v>
      </c>
      <c r="BC202" t="n">
        <v>0</v>
      </c>
      <c r="BD202" t="n">
        <v>0</v>
      </c>
      <c r="BE202" t="n">
        <v>0</v>
      </c>
      <c r="BF202" t="inlineStr">
        <is>
          <t>CONFORME</t>
        </is>
      </c>
    </row>
    <row r="203" hidden="1" ht="21.75" customHeight="1" thickBot="1">
      <c r="A203" s="77" t="inlineStr">
        <is>
          <t>Paraoupeba</t>
        </is>
      </c>
      <c r="B203" t="inlineStr">
        <is>
          <t>Horizontes</t>
        </is>
      </c>
      <c r="C203" s="80" t="inlineStr">
        <is>
          <t>EM3013</t>
        </is>
      </c>
      <c r="D203" t="inlineStr">
        <is>
          <t>AFEX</t>
        </is>
      </c>
      <c r="E203" s="78" t="inlineStr">
        <is>
          <t>KOMATSU</t>
        </is>
      </c>
      <c r="F203" t="inlineStr">
        <is>
          <t>KOMATSU PC2000</t>
        </is>
      </c>
      <c r="G203" s="81">
        <f>IFERROR(IF(F203=$AB$2,"",VLOOKUP(F203,'DATASHEET EQUIPAMENTOS'!D:N,2,FALSE)),"")</f>
        <v/>
      </c>
      <c r="H203" s="82" t="n"/>
      <c r="I203" s="57">
        <f>_xlfn.XLOOKUP(Tabela2[[#This Row],[Modelo]],'DATASHEET EQUIPAMENTOS'!D:D,'DATASHEET EQUIPAMENTOS'!P:P,"",0,1)</f>
        <v/>
      </c>
      <c r="J203" s="81">
        <f>IF(F203=$Z$2,"",VLOOKUP(F203,'DATASHEET EQUIPAMENTOS'!D:N,3,FALSE))</f>
        <v/>
      </c>
      <c r="K203" s="85" t="n"/>
      <c r="L203" s="95">
        <f>IF(AZ203="CONFORME","CONFORME ✓","NÃO CONFORME ✗")</f>
        <v/>
      </c>
      <c r="M203" s="124">
        <f>IF(F203=$Z$2,"",VLOOKUP(F203,'DATASHEET EQUIPAMENTOS'!D:N,4,FALSE))</f>
        <v/>
      </c>
      <c r="N203" s="57" t="n"/>
      <c r="O203" s="125">
        <f>IF(F203=$Z$2,"",VLOOKUP(F203,'DATASHEET EQUIPAMENTOS'!D:N,5,FALSE))</f>
        <v/>
      </c>
      <c r="P203" s="57" t="n"/>
      <c r="Q203" s="56">
        <f>IF(F203=$Z$2,"",VLOOKUP(F203,'DATASHEET EQUIPAMENTOS'!D:N,6,FALSE))</f>
        <v/>
      </c>
      <c r="R203" s="57" t="n"/>
      <c r="S203" s="126">
        <f>IF(Tabela2[[#This Row],[Instalado Sensor Motor]]="Linear","CONFORME ✓",IF(SUM(M203,O203,Q203)&lt;SUM(N203,P203,R203),"CONFORME ✓",IF(SUM(M203,O203,Q203)=SUM(N203,P203,R203),"CONFORME ✓","NÃO CONFORME ✗")))</f>
        <v/>
      </c>
      <c r="T203" s="56">
        <f>IF(F203=$Z$2,"",VLOOKUP(F203,'DATASHEET EQUIPAMENTOS'!D:N,7,FALSE))</f>
        <v/>
      </c>
      <c r="U203" s="57" t="n"/>
      <c r="V203" s="56">
        <f>IF(F203=$Z$2,"",VLOOKUP(F203,'DATASHEET EQUIPAMENTOS'!D:N,8,FALSE))</f>
        <v/>
      </c>
      <c r="W203" s="57" t="n"/>
      <c r="X203" s="56">
        <f>IF(F203=$Z$2,"",VLOOKUP(F203,'DATASHEET EQUIPAMENTOS'!D:N,9,FALSE))</f>
        <v/>
      </c>
      <c r="Y203" s="57" t="n"/>
      <c r="Z203" s="57">
        <f>IF(SUM(T203,V203,X203)&lt;=SUM(U203,W203,Y203),"CONFORME ✓",IF(SUM(T203,V203,X203)&gt;SUM(U203,W203,Y203),"NÃO CONFORME ✗"))</f>
        <v/>
      </c>
      <c r="AA203" s="56">
        <f>IF(F203=$Z$2,"",VLOOKUP(F203,'DATASHEET EQUIPAMENTOS'!D:N,10,FALSE))</f>
        <v/>
      </c>
      <c r="AB203" s="57" t="n"/>
      <c r="AC203" s="56">
        <f>IF(F203=$Z$2,"",VLOOKUP(F203,'DATASHEET EQUIPAMENTOS'!D:N,11,FALSE))</f>
        <v/>
      </c>
      <c r="AD203" s="57" t="n"/>
      <c r="AE203" s="56">
        <f>IF(F203=$Z$2,"",VLOOKUP(F203,'DATASHEET EQUIPAMENTOS'!D:O,12,FALSE))</f>
        <v/>
      </c>
      <c r="AF203" s="57" t="n"/>
      <c r="AG203" s="127">
        <f>IF(SUM(AA203,AC203,AE203)&lt;=SUM(AB203,AD203,AF203),"CONFORME ✓",IF(SUM(AA203,AC203,AE203)&gt;SUM(AB203,AD203,AF203),"NÃO CONFORME ✗"))</f>
        <v/>
      </c>
      <c r="AH203" s="128" t="n"/>
      <c r="AI203" s="129" t="n"/>
      <c r="AJ203" s="130" t="n"/>
      <c r="AK203" s="131" t="n"/>
      <c r="AL203" s="58">
        <f>IFERROR(CALCULOS!H198,"NECESSÁRIO REVISAR DATASHEET")</f>
        <v/>
      </c>
      <c r="AM20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3" s="64">
        <f>SUM(Tabela2[[#This Row],[Nota de Prioridade Quantitativa(NOTAS: 1 PIOR NOTA; 5 MELHOR NOTA)]],Tabela2[[#This Row],[Nota de Prioridade Qualitativa(NOTAS: 1 PIOR NOTA;  5 MELHOR NOTA)]])</f>
        <v/>
      </c>
      <c r="AO203" s="7" t="n">
        <v>154274</v>
      </c>
      <c r="AP203" s="64">
        <f>SUM(Tabela2[[#This Row],[Nota de Prioridade Quantitativa(NOTAS: 1 PIOR NOTA; 5 MELHOR NOTA)]],Tabela2[[#This Row],[Nota de Prioridade Qualitativa(NOTAS: 1 PIOR NOTA;  5 MELHOR NOTA)]])</f>
        <v/>
      </c>
      <c r="AQ203" s="64" t="n"/>
      <c r="AR203" s="64">
        <f>SUM(Tabela2[[#This Row],[Nota de Prioridade Quantitativa(NOTAS: 1 PIOR NOTA; 5 MELHOR NOTA)]],Tabela2[[#This Row],[Nota de Prioridade Qualitativa(NOTAS: 1 PIOR NOTA;  5 MELHOR NOTA)]])</f>
        <v/>
      </c>
      <c r="AS203" s="7" t="n"/>
      <c r="BB203" t="n">
        <v>0</v>
      </c>
      <c r="BC203" t="n">
        <v>0</v>
      </c>
      <c r="BD203" t="n">
        <v>0</v>
      </c>
      <c r="BE203" t="n">
        <v>0</v>
      </c>
      <c r="BF203" t="inlineStr">
        <is>
          <t>CONFORME</t>
        </is>
      </c>
    </row>
    <row r="204" hidden="1" ht="21.75" customHeight="1" thickBot="1">
      <c r="A204" s="77" t="inlineStr">
        <is>
          <t>VGR</t>
        </is>
      </c>
      <c r="B204" t="inlineStr">
        <is>
          <t>Aboboras</t>
        </is>
      </c>
      <c r="C204" s="80" t="inlineStr">
        <is>
          <t>EM3016</t>
        </is>
      </c>
      <c r="D204" t="inlineStr">
        <is>
          <t>AFEX</t>
        </is>
      </c>
      <c r="E204" s="78" t="inlineStr">
        <is>
          <t>KOMATSU</t>
        </is>
      </c>
      <c r="F204" t="inlineStr">
        <is>
          <t>KOMATSU PC2000</t>
        </is>
      </c>
      <c r="G204" s="81">
        <f>IFERROR(IF(F204=$AB$2,"",VLOOKUP(F204,'DATASHEET EQUIPAMENTOS'!D:N,2,FALSE)),"")</f>
        <v/>
      </c>
      <c r="H204" s="82" t="n"/>
      <c r="I204" s="57">
        <f>_xlfn.XLOOKUP(Tabela2[[#This Row],[Modelo]],'DATASHEET EQUIPAMENTOS'!D:D,'DATASHEET EQUIPAMENTOS'!P:P,"",0,1)</f>
        <v/>
      </c>
      <c r="J204" s="81">
        <f>IF(F204=$Z$2,"",VLOOKUP(F204,'DATASHEET EQUIPAMENTOS'!D:N,3,FALSE))</f>
        <v/>
      </c>
      <c r="K204" s="85" t="n"/>
      <c r="L204" s="95">
        <f>IF(AZ204="CONFORME","CONFORME ✓","NÃO CONFORME ✗")</f>
        <v/>
      </c>
      <c r="M204" s="124">
        <f>IF(F204=$Z$2,"",VLOOKUP(F204,'DATASHEET EQUIPAMENTOS'!D:N,4,FALSE))</f>
        <v/>
      </c>
      <c r="N204" s="57" t="n"/>
      <c r="O204" s="125">
        <f>IF(F204=$Z$2,"",VLOOKUP(F204,'DATASHEET EQUIPAMENTOS'!D:N,5,FALSE))</f>
        <v/>
      </c>
      <c r="P204" s="57" t="n"/>
      <c r="Q204" s="56">
        <f>IF(F204=$Z$2,"",VLOOKUP(F204,'DATASHEET EQUIPAMENTOS'!D:N,6,FALSE))</f>
        <v/>
      </c>
      <c r="R204" s="57" t="n"/>
      <c r="S204" s="126">
        <f>IF(Tabela2[[#This Row],[Instalado Sensor Motor]]="Linear","CONFORME ✓",IF(SUM(M204,O204,Q204)&lt;SUM(N204,P204,R204),"CONFORME ✓",IF(SUM(M204,O204,Q204)=SUM(N204,P204,R204),"CONFORME ✓","NÃO CONFORME ✗")))</f>
        <v/>
      </c>
      <c r="T204" s="56">
        <f>IF(F204=$Z$2,"",VLOOKUP(F204,'DATASHEET EQUIPAMENTOS'!D:N,7,FALSE))</f>
        <v/>
      </c>
      <c r="U204" s="57" t="n"/>
      <c r="V204" s="56">
        <f>IF(F204=$Z$2,"",VLOOKUP(F204,'DATASHEET EQUIPAMENTOS'!D:N,8,FALSE))</f>
        <v/>
      </c>
      <c r="W204" s="57" t="n"/>
      <c r="X204" s="56">
        <f>IF(F204=$Z$2,"",VLOOKUP(F204,'DATASHEET EQUIPAMENTOS'!D:N,9,FALSE))</f>
        <v/>
      </c>
      <c r="Y204" s="57" t="n"/>
      <c r="Z204" s="57">
        <f>IF(SUM(T204,V204,X204)&lt;=SUM(U204,W204,Y204),"CONFORME ✓",IF(SUM(T204,V204,X204)&gt;SUM(U204,W204,Y204),"NÃO CONFORME ✗"))</f>
        <v/>
      </c>
      <c r="AA204" s="56">
        <f>IF(F204=$Z$2,"",VLOOKUP(F204,'DATASHEET EQUIPAMENTOS'!D:N,10,FALSE))</f>
        <v/>
      </c>
      <c r="AB204" s="57" t="n"/>
      <c r="AC204" s="56">
        <f>IF(F204=$Z$2,"",VLOOKUP(F204,'DATASHEET EQUIPAMENTOS'!D:N,11,FALSE))</f>
        <v/>
      </c>
      <c r="AD204" s="57" t="n"/>
      <c r="AE204" s="56">
        <f>IF(F204=$Z$2,"",VLOOKUP(F204,'DATASHEET EQUIPAMENTOS'!D:O,12,FALSE))</f>
        <v/>
      </c>
      <c r="AF204" s="57" t="n"/>
      <c r="AG204" s="127">
        <f>IF(SUM(AA204,AC204,AE204)&lt;=SUM(AB204,AD204,AF204),"CONFORME ✓",IF(SUM(AA204,AC204,AE204)&gt;SUM(AB204,AD204,AF204),"NÃO CONFORME ✗"))</f>
        <v/>
      </c>
      <c r="AH204" s="128" t="n"/>
      <c r="AI204" s="129" t="n"/>
      <c r="AJ204" s="130" t="n"/>
      <c r="AK204" s="131" t="n"/>
      <c r="AL204" s="58">
        <f>IFERROR(CALCULOS!H199,"NECESSÁRIO REVISAR DATASHEET")</f>
        <v/>
      </c>
      <c r="AM20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4" s="64">
        <f>SUM(Tabela2[[#This Row],[Nota de Prioridade Quantitativa(NOTAS: 1 PIOR NOTA; 5 MELHOR NOTA)]],Tabela2[[#This Row],[Nota de Prioridade Qualitativa(NOTAS: 1 PIOR NOTA;  5 MELHOR NOTA)]])</f>
        <v/>
      </c>
      <c r="AO204" s="7" t="n">
        <v>154059</v>
      </c>
      <c r="AP204" s="64">
        <f>SUM(Tabela2[[#This Row],[Nota de Prioridade Quantitativa(NOTAS: 1 PIOR NOTA; 5 MELHOR NOTA)]],Tabela2[[#This Row],[Nota de Prioridade Qualitativa(NOTAS: 1 PIOR NOTA;  5 MELHOR NOTA)]])</f>
        <v/>
      </c>
      <c r="AQ204" s="64" t="n"/>
      <c r="AR204" s="64">
        <f>SUM(Tabela2[[#This Row],[Nota de Prioridade Quantitativa(NOTAS: 1 PIOR NOTA; 5 MELHOR NOTA)]],Tabela2[[#This Row],[Nota de Prioridade Qualitativa(NOTAS: 1 PIOR NOTA;  5 MELHOR NOTA)]])</f>
        <v/>
      </c>
      <c r="AS204" s="7" t="n"/>
      <c r="BB204" t="n">
        <v>0</v>
      </c>
      <c r="BC204" t="n">
        <v>0</v>
      </c>
      <c r="BD204" t="n">
        <v>0</v>
      </c>
      <c r="BE204" t="n">
        <v>0</v>
      </c>
      <c r="BF204" t="inlineStr">
        <is>
          <t>CONFORME</t>
        </is>
      </c>
    </row>
    <row r="205" hidden="1" ht="21.75" customHeight="1" thickBot="1">
      <c r="A205" s="77" t="inlineStr">
        <is>
          <t>VGR</t>
        </is>
      </c>
      <c r="B205" t="inlineStr">
        <is>
          <t>Aboboras</t>
        </is>
      </c>
      <c r="C205" s="80" t="inlineStr">
        <is>
          <t>CA5480</t>
        </is>
      </c>
      <c r="D205" t="inlineStr">
        <is>
          <t>AFEX</t>
        </is>
      </c>
      <c r="E205" t="inlineStr">
        <is>
          <t>CATERPILLAR</t>
        </is>
      </c>
      <c r="F205" t="inlineStr">
        <is>
          <t>CAT 789D</t>
        </is>
      </c>
      <c r="G205" s="81">
        <f>IFERROR(IF(F205=$AB$2,"",VLOOKUP(F205,'DATASHEET EQUIPAMENTOS'!D:N,2,FALSE)),"")</f>
        <v/>
      </c>
      <c r="H205" s="82" t="n"/>
      <c r="I205" s="57">
        <f>_xlfn.XLOOKUP(Tabela2[[#This Row],[Modelo]],'DATASHEET EQUIPAMENTOS'!D:D,'DATASHEET EQUIPAMENTOS'!P:P,"",0,1)</f>
        <v/>
      </c>
      <c r="J205" s="81">
        <f>IF(F205=$Z$2,"",VLOOKUP(F205,'DATASHEET EQUIPAMENTOS'!D:N,3,FALSE))</f>
        <v/>
      </c>
      <c r="K205" s="85" t="n"/>
      <c r="L205" s="95">
        <f>IF(AZ205="CONFORME","CONFORME ✓","NÃO CONFORME ✗")</f>
        <v/>
      </c>
      <c r="M205" s="124">
        <f>IF(F205=$Z$2,"",VLOOKUP(F205,'DATASHEET EQUIPAMENTOS'!D:N,4,FALSE))</f>
        <v/>
      </c>
      <c r="N205" s="57" t="n"/>
      <c r="O205" s="125">
        <f>IF(F205=$Z$2,"",VLOOKUP(F205,'DATASHEET EQUIPAMENTOS'!D:N,5,FALSE))</f>
        <v/>
      </c>
      <c r="P205" s="57" t="n"/>
      <c r="Q205" s="56">
        <f>IF(F205=$Z$2,"",VLOOKUP(F205,'DATASHEET EQUIPAMENTOS'!D:N,6,FALSE))</f>
        <v/>
      </c>
      <c r="R205" s="57" t="n"/>
      <c r="S205" s="126">
        <f>IF(Tabela2[[#This Row],[Instalado Sensor Motor]]="Linear","CONFORME ✓",IF(SUM(M205,O205,Q205)&lt;SUM(N205,P205,R205),"CONFORME ✓",IF(SUM(M205,O205,Q205)=SUM(N205,P205,R205),"CONFORME ✓","NÃO CONFORME ✗")))</f>
        <v/>
      </c>
      <c r="T205" s="56">
        <f>IF(F205=$Z$2,"",VLOOKUP(F205,'DATASHEET EQUIPAMENTOS'!D:N,7,FALSE))</f>
        <v/>
      </c>
      <c r="U205" s="57" t="n"/>
      <c r="V205" s="56">
        <f>IF(F205=$Z$2,"",VLOOKUP(F205,'DATASHEET EQUIPAMENTOS'!D:N,8,FALSE))</f>
        <v/>
      </c>
      <c r="W205" s="57" t="n"/>
      <c r="X205" s="56">
        <f>IF(F205=$Z$2,"",VLOOKUP(F205,'DATASHEET EQUIPAMENTOS'!D:N,9,FALSE))</f>
        <v/>
      </c>
      <c r="Y205" s="57" t="n"/>
      <c r="Z205" s="57">
        <f>IF(SUM(T205,V205,X205)&lt;=SUM(U205,W205,Y205),"CONFORME ✓",IF(SUM(T205,V205,X205)&gt;SUM(U205,W205,Y205),"NÃO CONFORME ✗"))</f>
        <v/>
      </c>
      <c r="AA205" s="56">
        <f>IF(F205=$Z$2,"",VLOOKUP(F205,'DATASHEET EQUIPAMENTOS'!D:N,10,FALSE))</f>
        <v/>
      </c>
      <c r="AB205" s="57" t="n"/>
      <c r="AC205" s="56">
        <f>IF(F205=$Z$2,"",VLOOKUP(F205,'DATASHEET EQUIPAMENTOS'!D:N,11,FALSE))</f>
        <v/>
      </c>
      <c r="AD205" s="57" t="n"/>
      <c r="AE205" s="56">
        <f>IF(F205=$Z$2,"",VLOOKUP(F205,'DATASHEET EQUIPAMENTOS'!D:O,12,FALSE))</f>
        <v/>
      </c>
      <c r="AF205" s="57" t="n"/>
      <c r="AG205" s="127">
        <f>IF(SUM(AA205,AC205,AE205)&lt;=SUM(AB205,AD205,AF205),"CONFORME ✓",IF(SUM(AA205,AC205,AE205)&gt;SUM(AB205,AD205,AF205),"NÃO CONFORME ✗"))</f>
        <v/>
      </c>
      <c r="AH205" s="128" t="n"/>
      <c r="AI205" s="129" t="n"/>
      <c r="AJ205" s="130" t="n"/>
      <c r="AK205" s="131" t="n"/>
      <c r="AL205" s="58">
        <f>IFERROR(CALCULOS!H200,"NECESSÁRIO REVISAR DATASHEET")</f>
        <v/>
      </c>
      <c r="AM20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5" s="64">
        <f>SUM(Tabela2[[#This Row],[Nota de Prioridade Quantitativa(NOTAS: 1 PIOR NOTA; 5 MELHOR NOTA)]],Tabela2[[#This Row],[Nota de Prioridade Qualitativa(NOTAS: 1 PIOR NOTA;  5 MELHOR NOTA)]])</f>
        <v/>
      </c>
      <c r="AO205" s="7" t="n">
        <v>154057</v>
      </c>
      <c r="AP205" s="64">
        <f>SUM(Tabela2[[#This Row],[Nota de Prioridade Quantitativa(NOTAS: 1 PIOR NOTA; 5 MELHOR NOTA)]],Tabela2[[#This Row],[Nota de Prioridade Qualitativa(NOTAS: 1 PIOR NOTA;  5 MELHOR NOTA)]])</f>
        <v/>
      </c>
      <c r="AQ205" s="64" t="n"/>
      <c r="AR205" s="64">
        <f>SUM(Tabela2[[#This Row],[Nota de Prioridade Quantitativa(NOTAS: 1 PIOR NOTA; 5 MELHOR NOTA)]],Tabela2[[#This Row],[Nota de Prioridade Qualitativa(NOTAS: 1 PIOR NOTA;  5 MELHOR NOTA)]])</f>
        <v/>
      </c>
      <c r="AS205" s="7" t="n"/>
      <c r="BB205" t="n">
        <v>0</v>
      </c>
      <c r="BC205" t="n">
        <v>0</v>
      </c>
      <c r="BD205" t="n">
        <v>0</v>
      </c>
      <c r="BE205" t="n">
        <v>0</v>
      </c>
      <c r="BF205" t="inlineStr">
        <is>
          <t>CONFORME</t>
        </is>
      </c>
    </row>
    <row r="206" hidden="1" ht="21.75" customHeight="1" thickBot="1">
      <c r="A206" s="77" t="inlineStr">
        <is>
          <t>VGR</t>
        </is>
      </c>
      <c r="B206" t="inlineStr">
        <is>
          <t>Aboboras</t>
        </is>
      </c>
      <c r="C206" s="80" t="inlineStr">
        <is>
          <t>CA5470</t>
        </is>
      </c>
      <c r="D206" t="inlineStr">
        <is>
          <t>AFEX</t>
        </is>
      </c>
      <c r="E206" t="inlineStr">
        <is>
          <t>CATERPILLAR</t>
        </is>
      </c>
      <c r="F206" t="inlineStr">
        <is>
          <t>CAT 789</t>
        </is>
      </c>
      <c r="G206" s="81">
        <f>IFERROR(IF(F206=$AB$2,"",VLOOKUP(F206,'DATASHEET EQUIPAMENTOS'!D:N,2,FALSE)),"")</f>
        <v/>
      </c>
      <c r="H206" s="82" t="n"/>
      <c r="I206" s="57">
        <f>_xlfn.XLOOKUP(Tabela2[[#This Row],[Modelo]],'DATASHEET EQUIPAMENTOS'!D:D,'DATASHEET EQUIPAMENTOS'!P:P,"",0,1)</f>
        <v/>
      </c>
      <c r="J206" s="81">
        <f>IF(F206=$Z$2,"",VLOOKUP(F206,'DATASHEET EQUIPAMENTOS'!D:N,3,FALSE))</f>
        <v/>
      </c>
      <c r="K206" s="85" t="n"/>
      <c r="L206" s="95">
        <f>IF(AZ206="CONFORME","CONFORME ✓","NÃO CONFORME ✗")</f>
        <v/>
      </c>
      <c r="M206" s="124">
        <f>IF(F206=$Z$2,"",VLOOKUP(F206,'DATASHEET EQUIPAMENTOS'!D:N,4,FALSE))</f>
        <v/>
      </c>
      <c r="N206" s="57" t="n"/>
      <c r="O206" s="125">
        <f>IF(F206=$Z$2,"",VLOOKUP(F206,'DATASHEET EQUIPAMENTOS'!D:N,5,FALSE))</f>
        <v/>
      </c>
      <c r="P206" s="57" t="n"/>
      <c r="Q206" s="56">
        <f>IF(F206=$Z$2,"",VLOOKUP(F206,'DATASHEET EQUIPAMENTOS'!D:N,6,FALSE))</f>
        <v/>
      </c>
      <c r="R206" s="57" t="n"/>
      <c r="S206" s="126">
        <f>IF(Tabela2[[#This Row],[Instalado Sensor Motor]]="Linear","CONFORME ✓",IF(SUM(M206,O206,Q206)&lt;SUM(N206,P206,R206),"CONFORME ✓",IF(SUM(M206,O206,Q206)=SUM(N206,P206,R206),"CONFORME ✓","NÃO CONFORME ✗")))</f>
        <v/>
      </c>
      <c r="T206" s="56">
        <f>IF(F206=$Z$2,"",VLOOKUP(F206,'DATASHEET EQUIPAMENTOS'!D:N,7,FALSE))</f>
        <v/>
      </c>
      <c r="U206" s="57" t="n"/>
      <c r="V206" s="56">
        <f>IF(F206=$Z$2,"",VLOOKUP(F206,'DATASHEET EQUIPAMENTOS'!D:N,8,FALSE))</f>
        <v/>
      </c>
      <c r="W206" s="57" t="n"/>
      <c r="X206" s="56">
        <f>IF(F206=$Z$2,"",VLOOKUP(F206,'DATASHEET EQUIPAMENTOS'!D:N,9,FALSE))</f>
        <v/>
      </c>
      <c r="Y206" s="57" t="n"/>
      <c r="Z206" s="57">
        <f>IF(SUM(T206,V206,X206)&lt;=SUM(U206,W206,Y206),"CONFORME ✓",IF(SUM(T206,V206,X206)&gt;SUM(U206,W206,Y206),"NÃO CONFORME ✗"))</f>
        <v/>
      </c>
      <c r="AA206" s="56">
        <f>IF(F206=$Z$2,"",VLOOKUP(F206,'DATASHEET EQUIPAMENTOS'!D:N,10,FALSE))</f>
        <v/>
      </c>
      <c r="AB206" s="57" t="n"/>
      <c r="AC206" s="56">
        <f>IF(F206=$Z$2,"",VLOOKUP(F206,'DATASHEET EQUIPAMENTOS'!D:N,11,FALSE))</f>
        <v/>
      </c>
      <c r="AD206" s="57" t="n"/>
      <c r="AE206" s="56">
        <f>IF(F206=$Z$2,"",VLOOKUP(F206,'DATASHEET EQUIPAMENTOS'!D:O,12,FALSE))</f>
        <v/>
      </c>
      <c r="AF206" s="57" t="n"/>
      <c r="AG206" s="127">
        <f>IF(SUM(AA206,AC206,AE206)&lt;=SUM(AB206,AD206,AF206),"CONFORME ✓",IF(SUM(AA206,AC206,AE206)&gt;SUM(AB206,AD206,AF206),"NÃO CONFORME ✗"))</f>
        <v/>
      </c>
      <c r="AH206" s="128" t="n"/>
      <c r="AI206" s="129" t="n"/>
      <c r="AJ206" s="130" t="n"/>
      <c r="AK206" s="131" t="n"/>
      <c r="AL206" s="58">
        <f>IFERROR(CALCULOS!H201,"NECESSÁRIO REVISAR DATASHEET")</f>
        <v/>
      </c>
      <c r="AM20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6" s="64">
        <f>SUM(Tabela2[[#This Row],[Nota de Prioridade Quantitativa(NOTAS: 1 PIOR NOTA; 5 MELHOR NOTA)]],Tabela2[[#This Row],[Nota de Prioridade Qualitativa(NOTAS: 1 PIOR NOTA;  5 MELHOR NOTA)]])</f>
        <v/>
      </c>
      <c r="AO206" s="7" t="n">
        <v>153868</v>
      </c>
      <c r="AP206" s="64">
        <f>SUM(Tabela2[[#This Row],[Nota de Prioridade Quantitativa(NOTAS: 1 PIOR NOTA; 5 MELHOR NOTA)]],Tabela2[[#This Row],[Nota de Prioridade Qualitativa(NOTAS: 1 PIOR NOTA;  5 MELHOR NOTA)]])</f>
        <v/>
      </c>
      <c r="AQ206" s="64" t="n"/>
      <c r="AR206" s="64">
        <f>SUM(Tabela2[[#This Row],[Nota de Prioridade Quantitativa(NOTAS: 1 PIOR NOTA; 5 MELHOR NOTA)]],Tabela2[[#This Row],[Nota de Prioridade Qualitativa(NOTAS: 1 PIOR NOTA;  5 MELHOR NOTA)]])</f>
        <v/>
      </c>
      <c r="AS206" s="7" t="n"/>
      <c r="BB206" t="n">
        <v>0</v>
      </c>
      <c r="BC206" t="n">
        <v>0</v>
      </c>
      <c r="BD206" t="n">
        <v>0</v>
      </c>
      <c r="BE206" t="n">
        <v>0</v>
      </c>
      <c r="BF206" t="inlineStr">
        <is>
          <t>CONFORME</t>
        </is>
      </c>
    </row>
    <row r="207" hidden="1" ht="21.75" customHeight="1" thickBot="1">
      <c r="A207" s="77" t="inlineStr">
        <is>
          <t>Paraoupeba</t>
        </is>
      </c>
      <c r="B207" t="inlineStr">
        <is>
          <t>Horizontes</t>
        </is>
      </c>
      <c r="C207" s="80" t="inlineStr">
        <is>
          <t>CA5412</t>
        </is>
      </c>
      <c r="D207" t="inlineStr">
        <is>
          <t>AFEX</t>
        </is>
      </c>
      <c r="E207" t="inlineStr">
        <is>
          <t>CATERPILLAR</t>
        </is>
      </c>
      <c r="F207" t="inlineStr">
        <is>
          <t>CAT 785C</t>
        </is>
      </c>
      <c r="G207" s="81">
        <f>IFERROR(IF(F207=$AB$2,"",VLOOKUP(F207,'DATASHEET EQUIPAMENTOS'!D:N,2,FALSE)),"")</f>
        <v/>
      </c>
      <c r="H207" s="82" t="n"/>
      <c r="I207" s="57">
        <f>_xlfn.XLOOKUP(Tabela2[[#This Row],[Modelo]],'DATASHEET EQUIPAMENTOS'!D:D,'DATASHEET EQUIPAMENTOS'!P:P,"",0,1)</f>
        <v/>
      </c>
      <c r="J207" s="81">
        <f>IF(F207=$Z$2,"",VLOOKUP(F207,'DATASHEET EQUIPAMENTOS'!D:N,3,FALSE))</f>
        <v/>
      </c>
      <c r="K207" s="85" t="n"/>
      <c r="L207" s="95">
        <f>IF(AZ207="CONFORME","CONFORME ✓","NÃO CONFORME ✗")</f>
        <v/>
      </c>
      <c r="M207" s="124">
        <f>IF(F207=$Z$2,"",VLOOKUP(F207,'DATASHEET EQUIPAMENTOS'!D:N,4,FALSE))</f>
        <v/>
      </c>
      <c r="N207" s="57" t="n"/>
      <c r="O207" s="125">
        <f>IF(F207=$Z$2,"",VLOOKUP(F207,'DATASHEET EQUIPAMENTOS'!D:N,5,FALSE))</f>
        <v/>
      </c>
      <c r="P207" s="57" t="n"/>
      <c r="Q207" s="56">
        <f>IF(F207=$Z$2,"",VLOOKUP(F207,'DATASHEET EQUIPAMENTOS'!D:N,6,FALSE))</f>
        <v/>
      </c>
      <c r="R207" s="57" t="n"/>
      <c r="S207" s="126">
        <f>IF(Tabela2[[#This Row],[Instalado Sensor Motor]]="Linear","CONFORME ✓",IF(SUM(M207,O207,Q207)&lt;SUM(N207,P207,R207),"CONFORME ✓",IF(SUM(M207,O207,Q207)=SUM(N207,P207,R207),"CONFORME ✓","NÃO CONFORME ✗")))</f>
        <v/>
      </c>
      <c r="T207" s="56">
        <f>IF(F207=$Z$2,"",VLOOKUP(F207,'DATASHEET EQUIPAMENTOS'!D:N,7,FALSE))</f>
        <v/>
      </c>
      <c r="U207" s="57" t="n"/>
      <c r="V207" s="56">
        <f>IF(F207=$Z$2,"",VLOOKUP(F207,'DATASHEET EQUIPAMENTOS'!D:N,8,FALSE))</f>
        <v/>
      </c>
      <c r="W207" s="57" t="n"/>
      <c r="X207" s="56">
        <f>IF(F207=$Z$2,"",VLOOKUP(F207,'DATASHEET EQUIPAMENTOS'!D:N,9,FALSE))</f>
        <v/>
      </c>
      <c r="Y207" s="57" t="n"/>
      <c r="Z207" s="57">
        <f>IF(SUM(T207,V207,X207)&lt;=SUM(U207,W207,Y207),"CONFORME ✓",IF(SUM(T207,V207,X207)&gt;SUM(U207,W207,Y207),"NÃO CONFORME ✗"))</f>
        <v/>
      </c>
      <c r="AA207" s="56">
        <f>IF(F207=$Z$2,"",VLOOKUP(F207,'DATASHEET EQUIPAMENTOS'!D:N,10,FALSE))</f>
        <v/>
      </c>
      <c r="AB207" s="57" t="n"/>
      <c r="AC207" s="56">
        <f>IF(F207=$Z$2,"",VLOOKUP(F207,'DATASHEET EQUIPAMENTOS'!D:N,11,FALSE))</f>
        <v/>
      </c>
      <c r="AD207" s="57" t="n"/>
      <c r="AE207" s="56">
        <f>IF(F207=$Z$2,"",VLOOKUP(F207,'DATASHEET EQUIPAMENTOS'!D:O,12,FALSE))</f>
        <v/>
      </c>
      <c r="AF207" s="57" t="n"/>
      <c r="AG207" s="127">
        <f>IF(SUM(AA207,AC207,AE207)&lt;=SUM(AB207,AD207,AF207),"CONFORME ✓",IF(SUM(AA207,AC207,AE207)&gt;SUM(AB207,AD207,AF207),"NÃO CONFORME ✗"))</f>
        <v/>
      </c>
      <c r="AH207" s="128" t="n"/>
      <c r="AI207" s="129" t="n"/>
      <c r="AJ207" s="130" t="n"/>
      <c r="AK207" s="131" t="n"/>
      <c r="AL207" s="58">
        <f>IFERROR(CALCULOS!H202,"NECESSÁRIO REVISAR DATASHEET")</f>
        <v/>
      </c>
      <c r="AM20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7" s="64">
        <f>SUM(Tabela2[[#This Row],[Nota de Prioridade Quantitativa(NOTAS: 1 PIOR NOTA; 5 MELHOR NOTA)]],Tabela2[[#This Row],[Nota de Prioridade Qualitativa(NOTAS: 1 PIOR NOTA;  5 MELHOR NOTA)]])</f>
        <v/>
      </c>
      <c r="AO207" s="7" t="n">
        <v>153792</v>
      </c>
      <c r="AP207" s="64">
        <f>SUM(Tabela2[[#This Row],[Nota de Prioridade Quantitativa(NOTAS: 1 PIOR NOTA; 5 MELHOR NOTA)]],Tabela2[[#This Row],[Nota de Prioridade Qualitativa(NOTAS: 1 PIOR NOTA;  5 MELHOR NOTA)]])</f>
        <v/>
      </c>
      <c r="AQ207" s="64" t="n"/>
      <c r="AR207" s="64">
        <f>SUM(Tabela2[[#This Row],[Nota de Prioridade Quantitativa(NOTAS: 1 PIOR NOTA; 5 MELHOR NOTA)]],Tabela2[[#This Row],[Nota de Prioridade Qualitativa(NOTAS: 1 PIOR NOTA;  5 MELHOR NOTA)]])</f>
        <v/>
      </c>
      <c r="AS207" s="7" t="n"/>
      <c r="BB207" t="n">
        <v>0</v>
      </c>
      <c r="BC207" t="n">
        <v>0</v>
      </c>
      <c r="BD207" t="n">
        <v>0</v>
      </c>
      <c r="BE207" t="n">
        <v>0</v>
      </c>
      <c r="BF207" t="inlineStr">
        <is>
          <t>CONFORME</t>
        </is>
      </c>
    </row>
    <row r="208" hidden="1" ht="21.75" customHeight="1" thickBot="1">
      <c r="A208" s="77" t="inlineStr">
        <is>
          <t>VGR</t>
        </is>
      </c>
      <c r="B208" t="inlineStr">
        <is>
          <t>Pico</t>
        </is>
      </c>
      <c r="C208" s="80" t="inlineStr">
        <is>
          <t>CA5465</t>
        </is>
      </c>
      <c r="D208" t="inlineStr">
        <is>
          <t>AFEX</t>
        </is>
      </c>
      <c r="E208" t="inlineStr">
        <is>
          <t>CATERPILLAR</t>
        </is>
      </c>
      <c r="F208" t="inlineStr">
        <is>
          <t>CAT 785C</t>
        </is>
      </c>
      <c r="G208" s="81">
        <f>IFERROR(IF(F208=$AB$2,"",VLOOKUP(F208,'DATASHEET EQUIPAMENTOS'!D:N,2,FALSE)),"")</f>
        <v/>
      </c>
      <c r="H208" s="82" t="n"/>
      <c r="I208" s="57">
        <f>_xlfn.XLOOKUP(Tabela2[[#This Row],[Modelo]],'DATASHEET EQUIPAMENTOS'!D:D,'DATASHEET EQUIPAMENTOS'!P:P,"",0,1)</f>
        <v/>
      </c>
      <c r="J208" s="81">
        <f>IF(F208=$Z$2,"",VLOOKUP(F208,'DATASHEET EQUIPAMENTOS'!D:N,3,FALSE))</f>
        <v/>
      </c>
      <c r="K208" s="85" t="n"/>
      <c r="L208" s="95">
        <f>IF(AZ208="CONFORME","CONFORME ✓","NÃO CONFORME ✗")</f>
        <v/>
      </c>
      <c r="M208" s="124">
        <f>IF(F208=$Z$2,"",VLOOKUP(F208,'DATASHEET EQUIPAMENTOS'!D:N,4,FALSE))</f>
        <v/>
      </c>
      <c r="N208" s="57" t="n"/>
      <c r="O208" s="125">
        <f>IF(F208=$Z$2,"",VLOOKUP(F208,'DATASHEET EQUIPAMENTOS'!D:N,5,FALSE))</f>
        <v/>
      </c>
      <c r="P208" s="57" t="n"/>
      <c r="Q208" s="56">
        <f>IF(F208=$Z$2,"",VLOOKUP(F208,'DATASHEET EQUIPAMENTOS'!D:N,6,FALSE))</f>
        <v/>
      </c>
      <c r="R208" s="57" t="n"/>
      <c r="S208" s="126">
        <f>IF(Tabela2[[#This Row],[Instalado Sensor Motor]]="Linear","CONFORME ✓",IF(SUM(M208,O208,Q208)&lt;SUM(N208,P208,R208),"CONFORME ✓",IF(SUM(M208,O208,Q208)=SUM(N208,P208,R208),"CONFORME ✓","NÃO CONFORME ✗")))</f>
        <v/>
      </c>
      <c r="T208" s="56">
        <f>IF(F208=$Z$2,"",VLOOKUP(F208,'DATASHEET EQUIPAMENTOS'!D:N,7,FALSE))</f>
        <v/>
      </c>
      <c r="U208" s="57" t="n"/>
      <c r="V208" s="56">
        <f>IF(F208=$Z$2,"",VLOOKUP(F208,'DATASHEET EQUIPAMENTOS'!D:N,8,FALSE))</f>
        <v/>
      </c>
      <c r="W208" s="57" t="n"/>
      <c r="X208" s="56">
        <f>IF(F208=$Z$2,"",VLOOKUP(F208,'DATASHEET EQUIPAMENTOS'!D:N,9,FALSE))</f>
        <v/>
      </c>
      <c r="Y208" s="57" t="n"/>
      <c r="Z208" s="57">
        <f>IF(SUM(T208,V208,X208)&lt;=SUM(U208,W208,Y208),"CONFORME ✓",IF(SUM(T208,V208,X208)&gt;SUM(U208,W208,Y208),"NÃO CONFORME ✗"))</f>
        <v/>
      </c>
      <c r="AA208" s="56">
        <f>IF(F208=$Z$2,"",VLOOKUP(F208,'DATASHEET EQUIPAMENTOS'!D:N,10,FALSE))</f>
        <v/>
      </c>
      <c r="AB208" s="57" t="n"/>
      <c r="AC208" s="56">
        <f>IF(F208=$Z$2,"",VLOOKUP(F208,'DATASHEET EQUIPAMENTOS'!D:N,11,FALSE))</f>
        <v/>
      </c>
      <c r="AD208" s="57" t="n"/>
      <c r="AE208" s="56">
        <f>IF(F208=$Z$2,"",VLOOKUP(F208,'DATASHEET EQUIPAMENTOS'!D:O,12,FALSE))</f>
        <v/>
      </c>
      <c r="AF208" s="57" t="n"/>
      <c r="AG208" s="127">
        <f>IF(SUM(AA208,AC208,AE208)&lt;=SUM(AB208,AD208,AF208),"CONFORME ✓",IF(SUM(AA208,AC208,AE208)&gt;SUM(AB208,AD208,AF208),"NÃO CONFORME ✗"))</f>
        <v/>
      </c>
      <c r="AH208" s="128" t="n"/>
      <c r="AI208" s="129" t="n"/>
      <c r="AJ208" s="130" t="n"/>
      <c r="AK208" s="131" t="n"/>
      <c r="AL208" s="58">
        <f>IFERROR(CALCULOS!H203,"NECESSÁRIO REVISAR DATASHEET")</f>
        <v/>
      </c>
      <c r="AM20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8" s="64">
        <f>SUM(Tabela2[[#This Row],[Nota de Prioridade Quantitativa(NOTAS: 1 PIOR NOTA; 5 MELHOR NOTA)]],Tabela2[[#This Row],[Nota de Prioridade Qualitativa(NOTAS: 1 PIOR NOTA;  5 MELHOR NOTA)]])</f>
        <v/>
      </c>
      <c r="AO208" s="7" t="n">
        <v>153633</v>
      </c>
      <c r="AP208" s="64">
        <f>SUM(Tabela2[[#This Row],[Nota de Prioridade Quantitativa(NOTAS: 1 PIOR NOTA; 5 MELHOR NOTA)]],Tabela2[[#This Row],[Nota de Prioridade Qualitativa(NOTAS: 1 PIOR NOTA;  5 MELHOR NOTA)]])</f>
        <v/>
      </c>
      <c r="AQ208" s="64" t="n"/>
      <c r="AR208" s="64">
        <f>SUM(Tabela2[[#This Row],[Nota de Prioridade Quantitativa(NOTAS: 1 PIOR NOTA; 5 MELHOR NOTA)]],Tabela2[[#This Row],[Nota de Prioridade Qualitativa(NOTAS: 1 PIOR NOTA;  5 MELHOR NOTA)]])</f>
        <v/>
      </c>
      <c r="AS208" s="7" t="n"/>
      <c r="BB208" t="n">
        <v>0</v>
      </c>
      <c r="BC208" t="n">
        <v>0</v>
      </c>
      <c r="BD208" t="n">
        <v>0</v>
      </c>
      <c r="BE208" t="n">
        <v>0</v>
      </c>
      <c r="BF208" t="inlineStr">
        <is>
          <t>CONFORME</t>
        </is>
      </c>
    </row>
    <row r="209" hidden="1" ht="21.75" customHeight="1" thickBot="1">
      <c r="A209" s="77" t="inlineStr">
        <is>
          <t>Paraoupeba</t>
        </is>
      </c>
      <c r="B209" t="inlineStr">
        <is>
          <t>Horizontes</t>
        </is>
      </c>
      <c r="C209" s="80" t="inlineStr">
        <is>
          <t>TE2417</t>
        </is>
      </c>
      <c r="D209" t="inlineStr">
        <is>
          <t>AFEX</t>
        </is>
      </c>
      <c r="E209" t="inlineStr">
        <is>
          <t>CATERPILLAR</t>
        </is>
      </c>
      <c r="F209" t="inlineStr">
        <is>
          <t>CAT D10T</t>
        </is>
      </c>
      <c r="G209" s="81">
        <f>IFERROR(IF(F209=$AB$2,"",VLOOKUP(F209,'DATASHEET EQUIPAMENTOS'!D:N,2,FALSE)),"")</f>
        <v/>
      </c>
      <c r="H209" s="82" t="n"/>
      <c r="I209" s="57">
        <f>_xlfn.XLOOKUP(Tabela2[[#This Row],[Modelo]],'DATASHEET EQUIPAMENTOS'!D:D,'DATASHEET EQUIPAMENTOS'!P:P,"",0,1)</f>
        <v/>
      </c>
      <c r="J209" s="81">
        <f>IF(F209=$Z$2,"",VLOOKUP(F209,'DATASHEET EQUIPAMENTOS'!D:N,3,FALSE))</f>
        <v/>
      </c>
      <c r="K209" s="85" t="n"/>
      <c r="L209" s="95">
        <f>IF(AZ209="CONFORME","CONFORME ✓","NÃO CONFORME ✗")</f>
        <v/>
      </c>
      <c r="M209" s="124">
        <f>IF(F209=$Z$2,"",VLOOKUP(F209,'DATASHEET EQUIPAMENTOS'!D:N,4,FALSE))</f>
        <v/>
      </c>
      <c r="N209" s="57" t="n"/>
      <c r="O209" s="125">
        <f>IF(F209=$Z$2,"",VLOOKUP(F209,'DATASHEET EQUIPAMENTOS'!D:N,5,FALSE))</f>
        <v/>
      </c>
      <c r="P209" s="57" t="n"/>
      <c r="Q209" s="56">
        <f>IF(F209=$Z$2,"",VLOOKUP(F209,'DATASHEET EQUIPAMENTOS'!D:N,6,FALSE))</f>
        <v/>
      </c>
      <c r="R209" s="57" t="n"/>
      <c r="S209" s="126">
        <f>IF(Tabela2[[#This Row],[Instalado Sensor Motor]]="Linear","CONFORME ✓",IF(SUM(M209,O209,Q209)&lt;SUM(N209,P209,R209),"CONFORME ✓",IF(SUM(M209,O209,Q209)=SUM(N209,P209,R209),"CONFORME ✓","NÃO CONFORME ✗")))</f>
        <v/>
      </c>
      <c r="T209" s="56">
        <f>IF(F209=$Z$2,"",VLOOKUP(F209,'DATASHEET EQUIPAMENTOS'!D:N,7,FALSE))</f>
        <v/>
      </c>
      <c r="U209" s="57" t="n"/>
      <c r="V209" s="56">
        <f>IF(F209=$Z$2,"",VLOOKUP(F209,'DATASHEET EQUIPAMENTOS'!D:N,8,FALSE))</f>
        <v/>
      </c>
      <c r="W209" s="57" t="n"/>
      <c r="X209" s="56">
        <f>IF(F209=$Z$2,"",VLOOKUP(F209,'DATASHEET EQUIPAMENTOS'!D:N,9,FALSE))</f>
        <v/>
      </c>
      <c r="Y209" s="57" t="n"/>
      <c r="Z209" s="57">
        <f>IF(SUM(T209,V209,X209)&lt;=SUM(U209,W209,Y209),"CONFORME ✓",IF(SUM(T209,V209,X209)&gt;SUM(U209,W209,Y209),"NÃO CONFORME ✗"))</f>
        <v/>
      </c>
      <c r="AA209" s="56">
        <f>IF(F209=$Z$2,"",VLOOKUP(F209,'DATASHEET EQUIPAMENTOS'!D:N,10,FALSE))</f>
        <v/>
      </c>
      <c r="AB209" s="57" t="n"/>
      <c r="AC209" s="56">
        <f>IF(F209=$Z$2,"",VLOOKUP(F209,'DATASHEET EQUIPAMENTOS'!D:N,11,FALSE))</f>
        <v/>
      </c>
      <c r="AD209" s="57" t="n"/>
      <c r="AE209" s="56">
        <f>IF(F209=$Z$2,"",VLOOKUP(F209,'DATASHEET EQUIPAMENTOS'!D:O,12,FALSE))</f>
        <v/>
      </c>
      <c r="AF209" s="57" t="n"/>
      <c r="AG209" s="127">
        <f>IF(SUM(AA209,AC209,AE209)&lt;=SUM(AB209,AD209,AF209),"CONFORME ✓",IF(SUM(AA209,AC209,AE209)&gt;SUM(AB209,AD209,AF209),"NÃO CONFORME ✗"))</f>
        <v/>
      </c>
      <c r="AH209" s="128" t="n"/>
      <c r="AI209" s="129" t="n"/>
      <c r="AJ209" s="130" t="n"/>
      <c r="AK209" s="131" t="n"/>
      <c r="AL209" s="58">
        <f>IFERROR(CALCULOS!H204,"NECESSÁRIO REVISAR DATASHEET")</f>
        <v/>
      </c>
      <c r="AM20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09" s="64">
        <f>SUM(Tabela2[[#This Row],[Nota de Prioridade Quantitativa(NOTAS: 1 PIOR NOTA; 5 MELHOR NOTA)]],Tabela2[[#This Row],[Nota de Prioridade Qualitativa(NOTAS: 1 PIOR NOTA;  5 MELHOR NOTA)]])</f>
        <v/>
      </c>
      <c r="AO209" s="7" t="n">
        <v>153458</v>
      </c>
      <c r="AP209" s="64">
        <f>SUM(Tabela2[[#This Row],[Nota de Prioridade Quantitativa(NOTAS: 1 PIOR NOTA; 5 MELHOR NOTA)]],Tabela2[[#This Row],[Nota de Prioridade Qualitativa(NOTAS: 1 PIOR NOTA;  5 MELHOR NOTA)]])</f>
        <v/>
      </c>
      <c r="AQ209" s="64" t="n"/>
      <c r="AR209" s="64">
        <f>SUM(Tabela2[[#This Row],[Nota de Prioridade Quantitativa(NOTAS: 1 PIOR NOTA; 5 MELHOR NOTA)]],Tabela2[[#This Row],[Nota de Prioridade Qualitativa(NOTAS: 1 PIOR NOTA;  5 MELHOR NOTA)]])</f>
        <v/>
      </c>
      <c r="AS209" s="7" t="n"/>
      <c r="BB209" t="n">
        <v>0</v>
      </c>
      <c r="BC209" t="n">
        <v>0</v>
      </c>
      <c r="BD209" t="n">
        <v>0</v>
      </c>
      <c r="BE209" t="n">
        <v>0</v>
      </c>
      <c r="BF209" t="inlineStr">
        <is>
          <t>CONFORME</t>
        </is>
      </c>
    </row>
    <row r="210" hidden="1" ht="21.75" customHeight="1" thickBot="1">
      <c r="A210" s="77" t="n"/>
      <c r="B210" t="inlineStr">
        <is>
          <t>Pico</t>
        </is>
      </c>
      <c r="C210" s="80" t="inlineStr">
        <is>
          <t>MN3503</t>
        </is>
      </c>
      <c r="D210" t="inlineStr">
        <is>
          <t>AFEX</t>
        </is>
      </c>
      <c r="E210" t="inlineStr">
        <is>
          <t>XCMG</t>
        </is>
      </c>
      <c r="F210" s="4" t="inlineStr">
        <is>
          <t>XCMG GR3505</t>
        </is>
      </c>
      <c r="G210" s="81">
        <f>IFERROR(IF(F210=$AB$2,"",VLOOKUP(F210,'DATASHEET EQUIPAMENTOS'!D:N,2,FALSE)),"")</f>
        <v/>
      </c>
      <c r="H210" s="82" t="n"/>
      <c r="I210" s="57">
        <f>_xlfn.XLOOKUP(Tabela2[[#This Row],[Modelo]],'DATASHEET EQUIPAMENTOS'!D:D,'DATASHEET EQUIPAMENTOS'!P:P,"",0,1)</f>
        <v/>
      </c>
      <c r="J210" s="81">
        <f>IF(F210=$Z$2,"",VLOOKUP(F210,'DATASHEET EQUIPAMENTOS'!D:N,3,FALSE))</f>
        <v/>
      </c>
      <c r="K210" s="85" t="n"/>
      <c r="L210" s="95">
        <f>IF(AZ210="CONFORME","CONFORME ✓","NÃO CONFORME ✗")</f>
        <v/>
      </c>
      <c r="M210" s="124">
        <f>IF(F210=$Z$2,"",VLOOKUP(F210,'DATASHEET EQUIPAMENTOS'!D:N,4,FALSE))</f>
        <v/>
      </c>
      <c r="N210" s="57" t="n"/>
      <c r="O210" s="125">
        <f>IF(F210=$Z$2,"",VLOOKUP(F210,'DATASHEET EQUIPAMENTOS'!D:N,5,FALSE))</f>
        <v/>
      </c>
      <c r="P210" s="57" t="n"/>
      <c r="Q210" s="56">
        <f>IF(F210=$Z$2,"",VLOOKUP(F210,'DATASHEET EQUIPAMENTOS'!D:N,6,FALSE))</f>
        <v/>
      </c>
      <c r="R210" s="57" t="n"/>
      <c r="S210" s="126">
        <f>IF(Tabela2[[#This Row],[Instalado Sensor Motor]]="Linear","CONFORME ✓",IF(SUM(M210,O210,Q210)&lt;SUM(N210,P210,R210),"CONFORME ✓",IF(SUM(M210,O210,Q210)=SUM(N210,P210,R210),"CONFORME ✓","NÃO CONFORME ✗")))</f>
        <v/>
      </c>
      <c r="T210" s="56">
        <f>IF(F210=$Z$2,"",VLOOKUP(F210,'DATASHEET EQUIPAMENTOS'!D:N,7,FALSE))</f>
        <v/>
      </c>
      <c r="U210" s="57" t="n"/>
      <c r="V210" s="56">
        <f>IF(F210=$Z$2,"",VLOOKUP(F210,'DATASHEET EQUIPAMENTOS'!D:N,8,FALSE))</f>
        <v/>
      </c>
      <c r="W210" s="57" t="n"/>
      <c r="X210" s="56">
        <f>IF(F210=$Z$2,"",VLOOKUP(F210,'DATASHEET EQUIPAMENTOS'!D:N,9,FALSE))</f>
        <v/>
      </c>
      <c r="Y210" s="57" t="n"/>
      <c r="Z210" s="57">
        <f>IF(SUM(T210,V210,X210)&lt;=SUM(U210,W210,Y210),"CONFORME ✓",IF(SUM(T210,V210,X210)&gt;SUM(U210,W210,Y210),"NÃO CONFORME ✗"))</f>
        <v/>
      </c>
      <c r="AA210" s="56">
        <f>IF(F210=$Z$2,"",VLOOKUP(F210,'DATASHEET EQUIPAMENTOS'!D:N,10,FALSE))</f>
        <v/>
      </c>
      <c r="AB210" s="57" t="n"/>
      <c r="AC210" s="56">
        <f>IF(F210=$Z$2,"",VLOOKUP(F210,'DATASHEET EQUIPAMENTOS'!D:N,11,FALSE))</f>
        <v/>
      </c>
      <c r="AD210" s="57" t="n"/>
      <c r="AE210" s="56">
        <f>IF(F210=$Z$2,"",VLOOKUP(F210,'DATASHEET EQUIPAMENTOS'!D:O,12,FALSE))</f>
        <v/>
      </c>
      <c r="AF210" s="57" t="n"/>
      <c r="AG210" s="127">
        <f>IF(SUM(AA210,AC210,AE210)&lt;=SUM(AB210,AD210,AF210),"CONFORME ✓",IF(SUM(AA210,AC210,AE210)&gt;SUM(AB210,AD210,AF210),"NÃO CONFORME ✗"))</f>
        <v/>
      </c>
      <c r="AH210" s="128" t="n"/>
      <c r="AI210" s="129" t="n"/>
      <c r="AJ210" s="130" t="n"/>
      <c r="AK210" s="131" t="n"/>
      <c r="AL210" s="58">
        <f>IFERROR(CALCULOS!H205,"NECESSÁRIO REVISAR DATASHEET")</f>
        <v/>
      </c>
      <c r="AM21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0" s="64">
        <f>SUM(Tabela2[[#This Row],[Nota de Prioridade Quantitativa(NOTAS: 1 PIOR NOTA; 5 MELHOR NOTA)]],Tabela2[[#This Row],[Nota de Prioridade Qualitativa(NOTAS: 1 PIOR NOTA;  5 MELHOR NOTA)]])</f>
        <v/>
      </c>
      <c r="AO210" s="7" t="n">
        <v>153455</v>
      </c>
      <c r="AP210" s="64">
        <f>SUM(Tabela2[[#This Row],[Nota de Prioridade Quantitativa(NOTAS: 1 PIOR NOTA; 5 MELHOR NOTA)]],Tabela2[[#This Row],[Nota de Prioridade Qualitativa(NOTAS: 1 PIOR NOTA;  5 MELHOR NOTA)]])</f>
        <v/>
      </c>
      <c r="AQ210" s="64" t="n"/>
      <c r="AR210" s="64">
        <f>SUM(Tabela2[[#This Row],[Nota de Prioridade Quantitativa(NOTAS: 1 PIOR NOTA; 5 MELHOR NOTA)]],Tabela2[[#This Row],[Nota de Prioridade Qualitativa(NOTAS: 1 PIOR NOTA;  5 MELHOR NOTA)]])</f>
        <v/>
      </c>
      <c r="AS210" s="7" t="n"/>
      <c r="BB210" t="n">
        <v>0</v>
      </c>
      <c r="BC210" t="n">
        <v>0</v>
      </c>
      <c r="BD210" t="n">
        <v>0</v>
      </c>
      <c r="BE210" t="n">
        <v>0</v>
      </c>
      <c r="BF210" t="inlineStr">
        <is>
          <t>CONFORME</t>
        </is>
      </c>
    </row>
    <row r="211" hidden="1" ht="21.75" customHeight="1" thickBot="1">
      <c r="A211" s="77" t="inlineStr">
        <is>
          <t>Paraoupeba</t>
        </is>
      </c>
      <c r="B211" t="inlineStr">
        <is>
          <t>Horizontes</t>
        </is>
      </c>
      <c r="C211" s="80" t="inlineStr">
        <is>
          <t>CA5426</t>
        </is>
      </c>
      <c r="D211" t="inlineStr">
        <is>
          <t>AFEX</t>
        </is>
      </c>
      <c r="E211" t="inlineStr">
        <is>
          <t>CATERPILLAR</t>
        </is>
      </c>
      <c r="F211" t="inlineStr">
        <is>
          <t>CAT 785C</t>
        </is>
      </c>
      <c r="G211" s="81">
        <f>IFERROR(IF(F211=$AB$2,"",VLOOKUP(F211,'DATASHEET EQUIPAMENTOS'!D:N,2,FALSE)),"")</f>
        <v/>
      </c>
      <c r="H211" s="82" t="n"/>
      <c r="I211" s="57">
        <f>_xlfn.XLOOKUP(Tabela2[[#This Row],[Modelo]],'DATASHEET EQUIPAMENTOS'!D:D,'DATASHEET EQUIPAMENTOS'!P:P,"",0,1)</f>
        <v/>
      </c>
      <c r="J211" s="81">
        <f>IF(F211=$Z$2,"",VLOOKUP(F211,'DATASHEET EQUIPAMENTOS'!D:N,3,FALSE))</f>
        <v/>
      </c>
      <c r="K211" s="85" t="n"/>
      <c r="L211" s="95">
        <f>IF(AZ211="CONFORME","CONFORME ✓","NÃO CONFORME ✗")</f>
        <v/>
      </c>
      <c r="M211" s="124">
        <f>IF(F211=$Z$2,"",VLOOKUP(F211,'DATASHEET EQUIPAMENTOS'!D:N,4,FALSE))</f>
        <v/>
      </c>
      <c r="N211" s="57" t="n"/>
      <c r="O211" s="125">
        <f>IF(F211=$Z$2,"",VLOOKUP(F211,'DATASHEET EQUIPAMENTOS'!D:N,5,FALSE))</f>
        <v/>
      </c>
      <c r="P211" s="57" t="n"/>
      <c r="Q211" s="56">
        <f>IF(F211=$Z$2,"",VLOOKUP(F211,'DATASHEET EQUIPAMENTOS'!D:N,6,FALSE))</f>
        <v/>
      </c>
      <c r="R211" s="57" t="n"/>
      <c r="S211" s="126">
        <f>IF(Tabela2[[#This Row],[Instalado Sensor Motor]]="Linear","CONFORME ✓",IF(SUM(M211,O211,Q211)&lt;SUM(N211,P211,R211),"CONFORME ✓",IF(SUM(M211,O211,Q211)=SUM(N211,P211,R211),"CONFORME ✓","NÃO CONFORME ✗")))</f>
        <v/>
      </c>
      <c r="T211" s="56">
        <f>IF(F211=$Z$2,"",VLOOKUP(F211,'DATASHEET EQUIPAMENTOS'!D:N,7,FALSE))</f>
        <v/>
      </c>
      <c r="U211" s="57" t="n"/>
      <c r="V211" s="56">
        <f>IF(F211=$Z$2,"",VLOOKUP(F211,'DATASHEET EQUIPAMENTOS'!D:N,8,FALSE))</f>
        <v/>
      </c>
      <c r="W211" s="57" t="n"/>
      <c r="X211" s="56">
        <f>IF(F211=$Z$2,"",VLOOKUP(F211,'DATASHEET EQUIPAMENTOS'!D:N,9,FALSE))</f>
        <v/>
      </c>
      <c r="Y211" s="57" t="n"/>
      <c r="Z211" s="57">
        <f>IF(SUM(T211,V211,X211)&lt;=SUM(U211,W211,Y211),"CONFORME ✓",IF(SUM(T211,V211,X211)&gt;SUM(U211,W211,Y211),"NÃO CONFORME ✗"))</f>
        <v/>
      </c>
      <c r="AA211" s="56">
        <f>IF(F211=$Z$2,"",VLOOKUP(F211,'DATASHEET EQUIPAMENTOS'!D:N,10,FALSE))</f>
        <v/>
      </c>
      <c r="AB211" s="57" t="n"/>
      <c r="AC211" s="56">
        <f>IF(F211=$Z$2,"",VLOOKUP(F211,'DATASHEET EQUIPAMENTOS'!D:N,11,FALSE))</f>
        <v/>
      </c>
      <c r="AD211" s="57" t="n"/>
      <c r="AE211" s="56">
        <f>IF(F211=$Z$2,"",VLOOKUP(F211,'DATASHEET EQUIPAMENTOS'!D:O,12,FALSE))</f>
        <v/>
      </c>
      <c r="AF211" s="57" t="n"/>
      <c r="AG211" s="127">
        <f>IF(SUM(AA211,AC211,AE211)&lt;=SUM(AB211,AD211,AF211),"CONFORME ✓",IF(SUM(AA211,AC211,AE211)&gt;SUM(AB211,AD211,AF211),"NÃO CONFORME ✗"))</f>
        <v/>
      </c>
      <c r="AH211" s="128" t="n"/>
      <c r="AI211" s="129" t="n"/>
      <c r="AJ211" s="130" t="n"/>
      <c r="AK211" s="131" t="n"/>
      <c r="AL211" s="58">
        <f>IFERROR(CALCULOS!H206,"NECESSÁRIO REVISAR DATASHEET")</f>
        <v/>
      </c>
      <c r="AM21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1" s="64">
        <f>SUM(Tabela2[[#This Row],[Nota de Prioridade Quantitativa(NOTAS: 1 PIOR NOTA; 5 MELHOR NOTA)]],Tabela2[[#This Row],[Nota de Prioridade Qualitativa(NOTAS: 1 PIOR NOTA;  5 MELHOR NOTA)]])</f>
        <v/>
      </c>
      <c r="AO211" s="7" t="n">
        <v>153399</v>
      </c>
      <c r="AP211" s="64">
        <f>SUM(Tabela2[[#This Row],[Nota de Prioridade Quantitativa(NOTAS: 1 PIOR NOTA; 5 MELHOR NOTA)]],Tabela2[[#This Row],[Nota de Prioridade Qualitativa(NOTAS: 1 PIOR NOTA;  5 MELHOR NOTA)]])</f>
        <v/>
      </c>
      <c r="AQ211" s="64" t="n"/>
      <c r="AR211" s="64">
        <f>SUM(Tabela2[[#This Row],[Nota de Prioridade Quantitativa(NOTAS: 1 PIOR NOTA; 5 MELHOR NOTA)]],Tabela2[[#This Row],[Nota de Prioridade Qualitativa(NOTAS: 1 PIOR NOTA;  5 MELHOR NOTA)]])</f>
        <v/>
      </c>
      <c r="AS211" s="7" t="n"/>
      <c r="BB211" t="n">
        <v>0</v>
      </c>
      <c r="BC211" t="n">
        <v>0</v>
      </c>
      <c r="BD211" t="n">
        <v>0</v>
      </c>
      <c r="BE211" t="n">
        <v>0</v>
      </c>
      <c r="BF211" t="inlineStr">
        <is>
          <t>CONFORME</t>
        </is>
      </c>
    </row>
    <row r="212" hidden="1" ht="21.75" customHeight="1" thickBot="1">
      <c r="A212" s="77" t="inlineStr">
        <is>
          <t>Paraoupeba</t>
        </is>
      </c>
      <c r="B212" t="inlineStr">
        <is>
          <t>Horizontes</t>
        </is>
      </c>
      <c r="C212" s="80" t="inlineStr">
        <is>
          <t>PF7115</t>
        </is>
      </c>
      <c r="D212" t="inlineStr">
        <is>
          <t>KIDDE</t>
        </is>
      </c>
      <c r="E212" t="inlineStr">
        <is>
          <t>EPIROC</t>
        </is>
      </c>
      <c r="F212" s="4" t="inlineStr">
        <is>
          <t>EPIROC D65</t>
        </is>
      </c>
      <c r="G212" s="81">
        <f>IFERROR(IF(F212=$AB$2,"",VLOOKUP(F212,'DATASHEET EQUIPAMENTOS'!D:N,2,FALSE)),"")</f>
        <v/>
      </c>
      <c r="H212" s="82" t="n"/>
      <c r="I212" s="57">
        <f>_xlfn.XLOOKUP(Tabela2[[#This Row],[Modelo]],'DATASHEET EQUIPAMENTOS'!D:D,'DATASHEET EQUIPAMENTOS'!P:P,"",0,1)</f>
        <v/>
      </c>
      <c r="J212" s="81">
        <f>IF(F212=$Z$2,"",VLOOKUP(F212,'DATASHEET EQUIPAMENTOS'!D:N,3,FALSE))</f>
        <v/>
      </c>
      <c r="K212" s="85" t="n"/>
      <c r="L212" s="95">
        <f>IF(AZ212="CONFORME","CONFORME ✓","NÃO CONFORME ✗")</f>
        <v/>
      </c>
      <c r="M212" s="124">
        <f>IF(F212=$Z$2,"",VLOOKUP(F212,'DATASHEET EQUIPAMENTOS'!D:N,4,FALSE))</f>
        <v/>
      </c>
      <c r="N212" s="57" t="n"/>
      <c r="O212" s="125">
        <f>IF(F212=$Z$2,"",VLOOKUP(F212,'DATASHEET EQUIPAMENTOS'!D:N,5,FALSE))</f>
        <v/>
      </c>
      <c r="P212" s="57" t="n"/>
      <c r="Q212" s="56">
        <f>IF(F212=$Z$2,"",VLOOKUP(F212,'DATASHEET EQUIPAMENTOS'!D:N,6,FALSE))</f>
        <v/>
      </c>
      <c r="R212" s="57" t="n"/>
      <c r="S212" s="126">
        <f>IF(Tabela2[[#This Row],[Instalado Sensor Motor]]="Linear","CONFORME ✓",IF(SUM(M212,O212,Q212)&lt;SUM(N212,P212,R212),"CONFORME ✓",IF(SUM(M212,O212,Q212)=SUM(N212,P212,R212),"CONFORME ✓","NÃO CONFORME ✗")))</f>
        <v/>
      </c>
      <c r="T212" s="56">
        <f>IF(F212=$Z$2,"",VLOOKUP(F212,'DATASHEET EQUIPAMENTOS'!D:N,7,FALSE))</f>
        <v/>
      </c>
      <c r="U212" s="57" t="n"/>
      <c r="V212" s="56">
        <f>IF(F212=$Z$2,"",VLOOKUP(F212,'DATASHEET EQUIPAMENTOS'!D:N,8,FALSE))</f>
        <v/>
      </c>
      <c r="W212" s="57" t="n"/>
      <c r="X212" s="56">
        <f>IF(F212=$Z$2,"",VLOOKUP(F212,'DATASHEET EQUIPAMENTOS'!D:N,9,FALSE))</f>
        <v/>
      </c>
      <c r="Y212" s="57" t="n"/>
      <c r="Z212" s="57">
        <f>IF(SUM(T212,V212,X212)&lt;=SUM(U212,W212,Y212),"CONFORME ✓",IF(SUM(T212,V212,X212)&gt;SUM(U212,W212,Y212),"NÃO CONFORME ✗"))</f>
        <v/>
      </c>
      <c r="AA212" s="56">
        <f>IF(F212=$Z$2,"",VLOOKUP(F212,'DATASHEET EQUIPAMENTOS'!D:N,10,FALSE))</f>
        <v/>
      </c>
      <c r="AB212" s="57" t="n"/>
      <c r="AC212" s="56">
        <f>IF(F212=$Z$2,"",VLOOKUP(F212,'DATASHEET EQUIPAMENTOS'!D:N,11,FALSE))</f>
        <v/>
      </c>
      <c r="AD212" s="57" t="n"/>
      <c r="AE212" s="56">
        <f>IF(F212=$Z$2,"",VLOOKUP(F212,'DATASHEET EQUIPAMENTOS'!D:O,12,FALSE))</f>
        <v/>
      </c>
      <c r="AF212" s="57" t="n"/>
      <c r="AG212" s="127">
        <f>IF(SUM(AA212,AC212,AE212)&lt;=SUM(AB212,AD212,AF212),"CONFORME ✓",IF(SUM(AA212,AC212,AE212)&gt;SUM(AB212,AD212,AF212),"NÃO CONFORME ✗"))</f>
        <v/>
      </c>
      <c r="AH212" s="128" t="n"/>
      <c r="AI212" s="129" t="n"/>
      <c r="AJ212" s="130" t="n"/>
      <c r="AK212" s="131" t="n"/>
      <c r="AL212" s="58">
        <f>IFERROR(CALCULOS!H207,"NECESSÁRIO REVISAR DATASHEET")</f>
        <v/>
      </c>
      <c r="AM21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2" s="64">
        <f>SUM(Tabela2[[#This Row],[Nota de Prioridade Quantitativa(NOTAS: 1 PIOR NOTA; 5 MELHOR NOTA)]],Tabela2[[#This Row],[Nota de Prioridade Qualitativa(NOTAS: 1 PIOR NOTA;  5 MELHOR NOTA)]])</f>
        <v/>
      </c>
      <c r="AO212" s="7" t="n">
        <v>153398</v>
      </c>
      <c r="AP212" s="64">
        <f>SUM(Tabela2[[#This Row],[Nota de Prioridade Quantitativa(NOTAS: 1 PIOR NOTA; 5 MELHOR NOTA)]],Tabela2[[#This Row],[Nota de Prioridade Qualitativa(NOTAS: 1 PIOR NOTA;  5 MELHOR NOTA)]])</f>
        <v/>
      </c>
      <c r="AQ212" s="64" t="n"/>
      <c r="AR212" s="64">
        <f>SUM(Tabela2[[#This Row],[Nota de Prioridade Quantitativa(NOTAS: 1 PIOR NOTA; 5 MELHOR NOTA)]],Tabela2[[#This Row],[Nota de Prioridade Qualitativa(NOTAS: 1 PIOR NOTA;  5 MELHOR NOTA)]])</f>
        <v/>
      </c>
      <c r="AS212" s="7" t="n"/>
      <c r="BB212" t="n">
        <v>0</v>
      </c>
      <c r="BC212" t="n">
        <v>0</v>
      </c>
      <c r="BD212" t="n">
        <v>0</v>
      </c>
      <c r="BE212" t="n">
        <v>0</v>
      </c>
      <c r="BF212" t="inlineStr">
        <is>
          <t>CONFORME</t>
        </is>
      </c>
    </row>
    <row r="213" hidden="1" ht="21.75" customHeight="1" thickBot="1">
      <c r="A213" s="77" t="inlineStr">
        <is>
          <t>VGR</t>
        </is>
      </c>
      <c r="B213" t="inlineStr">
        <is>
          <t>Aboboras</t>
        </is>
      </c>
      <c r="C213" s="80" t="inlineStr">
        <is>
          <t>PM6315</t>
        </is>
      </c>
      <c r="D213" t="inlineStr">
        <is>
          <t>AFEX</t>
        </is>
      </c>
      <c r="E213" t="inlineStr">
        <is>
          <t>CATERPILLAR</t>
        </is>
      </c>
      <c r="F213" t="inlineStr">
        <is>
          <t>CAT 994K</t>
        </is>
      </c>
      <c r="G213" s="81">
        <f>IFERROR(IF(F213=$AB$2,"",VLOOKUP(F213,'DATASHEET EQUIPAMENTOS'!D:N,2,FALSE)),"")</f>
        <v/>
      </c>
      <c r="H213" s="82" t="n"/>
      <c r="I213" s="57">
        <f>_xlfn.XLOOKUP(Tabela2[[#This Row],[Modelo]],'DATASHEET EQUIPAMENTOS'!D:D,'DATASHEET EQUIPAMENTOS'!P:P,"",0,1)</f>
        <v/>
      </c>
      <c r="J213" s="81">
        <f>IF(F213=$Z$2,"",VLOOKUP(F213,'DATASHEET EQUIPAMENTOS'!D:N,3,FALSE))</f>
        <v/>
      </c>
      <c r="K213" s="85" t="n"/>
      <c r="L213" s="95">
        <f>IF(AZ213="CONFORME","CONFORME ✓","NÃO CONFORME ✗")</f>
        <v/>
      </c>
      <c r="M213" s="124">
        <f>IF(F213=$Z$2,"",VLOOKUP(F213,'DATASHEET EQUIPAMENTOS'!D:N,4,FALSE))</f>
        <v/>
      </c>
      <c r="N213" s="57" t="n"/>
      <c r="O213" s="125">
        <f>IF(F213=$Z$2,"",VLOOKUP(F213,'DATASHEET EQUIPAMENTOS'!D:N,5,FALSE))</f>
        <v/>
      </c>
      <c r="P213" s="57" t="n"/>
      <c r="Q213" s="56">
        <f>IF(F213=$Z$2,"",VLOOKUP(F213,'DATASHEET EQUIPAMENTOS'!D:N,6,FALSE))</f>
        <v/>
      </c>
      <c r="R213" s="57" t="n"/>
      <c r="S213" s="126">
        <f>IF(Tabela2[[#This Row],[Instalado Sensor Motor]]="Linear","CONFORME ✓",IF(SUM(M213,O213,Q213)&lt;SUM(N213,P213,R213),"CONFORME ✓",IF(SUM(M213,O213,Q213)=SUM(N213,P213,R213),"CONFORME ✓","NÃO CONFORME ✗")))</f>
        <v/>
      </c>
      <c r="T213" s="56">
        <f>IF(F213=$Z$2,"",VLOOKUP(F213,'DATASHEET EQUIPAMENTOS'!D:N,7,FALSE))</f>
        <v/>
      </c>
      <c r="U213" s="57" t="n"/>
      <c r="V213" s="56">
        <f>IF(F213=$Z$2,"",VLOOKUP(F213,'DATASHEET EQUIPAMENTOS'!D:N,8,FALSE))</f>
        <v/>
      </c>
      <c r="W213" s="57" t="n"/>
      <c r="X213" s="56">
        <f>IF(F213=$Z$2,"",VLOOKUP(F213,'DATASHEET EQUIPAMENTOS'!D:N,9,FALSE))</f>
        <v/>
      </c>
      <c r="Y213" s="57" t="n"/>
      <c r="Z213" s="57">
        <f>IF(SUM(T213,V213,X213)&lt;=SUM(U213,W213,Y213),"CONFORME ✓",IF(SUM(T213,V213,X213)&gt;SUM(U213,W213,Y213),"NÃO CONFORME ✗"))</f>
        <v/>
      </c>
      <c r="AA213" s="56">
        <f>IF(F213=$Z$2,"",VLOOKUP(F213,'DATASHEET EQUIPAMENTOS'!D:N,10,FALSE))</f>
        <v/>
      </c>
      <c r="AB213" s="57" t="n"/>
      <c r="AC213" s="56">
        <f>IF(F213=$Z$2,"",VLOOKUP(F213,'DATASHEET EQUIPAMENTOS'!D:N,11,FALSE))</f>
        <v/>
      </c>
      <c r="AD213" s="57" t="n"/>
      <c r="AE213" s="56">
        <f>IF(F213=$Z$2,"",VLOOKUP(F213,'DATASHEET EQUIPAMENTOS'!D:O,12,FALSE))</f>
        <v/>
      </c>
      <c r="AF213" s="57" t="n"/>
      <c r="AG213" s="127">
        <f>IF(SUM(AA213,AC213,AE213)&lt;=SUM(AB213,AD213,AF213),"CONFORME ✓",IF(SUM(AA213,AC213,AE213)&gt;SUM(AB213,AD213,AF213),"NÃO CONFORME ✗"))</f>
        <v/>
      </c>
      <c r="AH213" s="128" t="n"/>
      <c r="AI213" s="129" t="n"/>
      <c r="AJ213" s="130" t="n"/>
      <c r="AK213" s="131" t="n"/>
      <c r="AL213" s="58">
        <f>IFERROR(CALCULOS!H208,"NECESSÁRIO REVISAR DATASHEET")</f>
        <v/>
      </c>
      <c r="AM21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3" s="64">
        <f>SUM(Tabela2[[#This Row],[Nota de Prioridade Quantitativa(NOTAS: 1 PIOR NOTA; 5 MELHOR NOTA)]],Tabela2[[#This Row],[Nota de Prioridade Qualitativa(NOTAS: 1 PIOR NOTA;  5 MELHOR NOTA)]])</f>
        <v/>
      </c>
      <c r="AO213" s="7" t="n">
        <v>153357</v>
      </c>
      <c r="AP213" s="64">
        <f>SUM(Tabela2[[#This Row],[Nota de Prioridade Quantitativa(NOTAS: 1 PIOR NOTA; 5 MELHOR NOTA)]],Tabela2[[#This Row],[Nota de Prioridade Qualitativa(NOTAS: 1 PIOR NOTA;  5 MELHOR NOTA)]])</f>
        <v/>
      </c>
      <c r="AQ213" s="64" t="n"/>
      <c r="AR213" s="64">
        <f>SUM(Tabela2[[#This Row],[Nota de Prioridade Quantitativa(NOTAS: 1 PIOR NOTA; 5 MELHOR NOTA)]],Tabela2[[#This Row],[Nota de Prioridade Qualitativa(NOTAS: 1 PIOR NOTA;  5 MELHOR NOTA)]])</f>
        <v/>
      </c>
      <c r="AS213" s="7" t="n"/>
      <c r="BB213" t="n">
        <v>0</v>
      </c>
      <c r="BC213" t="n">
        <v>0</v>
      </c>
      <c r="BD213" t="n">
        <v>0</v>
      </c>
      <c r="BE213" t="n">
        <v>0</v>
      </c>
      <c r="BF213" t="inlineStr">
        <is>
          <t>CONFORME</t>
        </is>
      </c>
    </row>
    <row r="214" hidden="1" ht="21.75" customHeight="1" thickBot="1">
      <c r="A214" s="77" t="inlineStr">
        <is>
          <t>VGR</t>
        </is>
      </c>
      <c r="B214" t="inlineStr">
        <is>
          <t>Aboboras</t>
        </is>
      </c>
      <c r="C214" s="80" t="inlineStr">
        <is>
          <t>CA5494</t>
        </is>
      </c>
      <c r="D214" t="inlineStr">
        <is>
          <t>AFEX</t>
        </is>
      </c>
      <c r="E214" t="inlineStr">
        <is>
          <t>CATERPILLAR</t>
        </is>
      </c>
      <c r="F214" t="inlineStr">
        <is>
          <t>CAT 789D</t>
        </is>
      </c>
      <c r="G214" s="81">
        <f>IFERROR(IF(F214=$AB$2,"",VLOOKUP(F214,'DATASHEET EQUIPAMENTOS'!D:N,2,FALSE)),"")</f>
        <v/>
      </c>
      <c r="H214" s="82" t="n"/>
      <c r="I214" s="57">
        <f>_xlfn.XLOOKUP(Tabela2[[#This Row],[Modelo]],'DATASHEET EQUIPAMENTOS'!D:D,'DATASHEET EQUIPAMENTOS'!P:P,"",0,1)</f>
        <v/>
      </c>
      <c r="J214" s="81">
        <f>IF(F214=$Z$2,"",VLOOKUP(F214,'DATASHEET EQUIPAMENTOS'!D:N,3,FALSE))</f>
        <v/>
      </c>
      <c r="K214" s="85" t="n"/>
      <c r="L214" s="95">
        <f>IF(AZ214="CONFORME","CONFORME ✓","NÃO CONFORME ✗")</f>
        <v/>
      </c>
      <c r="M214" s="124">
        <f>IF(F214=$Z$2,"",VLOOKUP(F214,'DATASHEET EQUIPAMENTOS'!D:N,4,FALSE))</f>
        <v/>
      </c>
      <c r="N214" s="57" t="n"/>
      <c r="O214" s="125">
        <f>IF(F214=$Z$2,"",VLOOKUP(F214,'DATASHEET EQUIPAMENTOS'!D:N,5,FALSE))</f>
        <v/>
      </c>
      <c r="P214" s="57" t="n"/>
      <c r="Q214" s="56">
        <f>IF(F214=$Z$2,"",VLOOKUP(F214,'DATASHEET EQUIPAMENTOS'!D:N,6,FALSE))</f>
        <v/>
      </c>
      <c r="R214" s="57" t="n"/>
      <c r="S214" s="126">
        <f>IF(Tabela2[[#This Row],[Instalado Sensor Motor]]="Linear","CONFORME ✓",IF(SUM(M214,O214,Q214)&lt;SUM(N214,P214,R214),"CONFORME ✓",IF(SUM(M214,O214,Q214)=SUM(N214,P214,R214),"CONFORME ✓","NÃO CONFORME ✗")))</f>
        <v/>
      </c>
      <c r="T214" s="56">
        <f>IF(F214=$Z$2,"",VLOOKUP(F214,'DATASHEET EQUIPAMENTOS'!D:N,7,FALSE))</f>
        <v/>
      </c>
      <c r="U214" s="57" t="n"/>
      <c r="V214" s="56">
        <f>IF(F214=$Z$2,"",VLOOKUP(F214,'DATASHEET EQUIPAMENTOS'!D:N,8,FALSE))</f>
        <v/>
      </c>
      <c r="W214" s="57" t="n"/>
      <c r="X214" s="56">
        <f>IF(F214=$Z$2,"",VLOOKUP(F214,'DATASHEET EQUIPAMENTOS'!D:N,9,FALSE))</f>
        <v/>
      </c>
      <c r="Y214" s="57" t="n"/>
      <c r="Z214" s="57">
        <f>IF(SUM(T214,V214,X214)&lt;=SUM(U214,W214,Y214),"CONFORME ✓",IF(SUM(T214,V214,X214)&gt;SUM(U214,W214,Y214),"NÃO CONFORME ✗"))</f>
        <v/>
      </c>
      <c r="AA214" s="56">
        <f>IF(F214=$Z$2,"",VLOOKUP(F214,'DATASHEET EQUIPAMENTOS'!D:N,10,FALSE))</f>
        <v/>
      </c>
      <c r="AB214" s="57" t="n"/>
      <c r="AC214" s="56">
        <f>IF(F214=$Z$2,"",VLOOKUP(F214,'DATASHEET EQUIPAMENTOS'!D:N,11,FALSE))</f>
        <v/>
      </c>
      <c r="AD214" s="57" t="n"/>
      <c r="AE214" s="56">
        <f>IF(F214=$Z$2,"",VLOOKUP(F214,'DATASHEET EQUIPAMENTOS'!D:O,12,FALSE))</f>
        <v/>
      </c>
      <c r="AF214" s="57" t="n"/>
      <c r="AG214" s="127">
        <f>IF(SUM(AA214,AC214,AE214)&lt;=SUM(AB214,AD214,AF214),"CONFORME ✓",IF(SUM(AA214,AC214,AE214)&gt;SUM(AB214,AD214,AF214),"NÃO CONFORME ✗"))</f>
        <v/>
      </c>
      <c r="AH214" s="128" t="n"/>
      <c r="AI214" s="129" t="n"/>
      <c r="AJ214" s="130" t="n"/>
      <c r="AK214" s="131" t="n"/>
      <c r="AL214" s="58">
        <f>IFERROR(CALCULOS!H209,"NECESSÁRIO REVISAR DATASHEET")</f>
        <v/>
      </c>
      <c r="AM21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4" s="64">
        <f>SUM(Tabela2[[#This Row],[Nota de Prioridade Quantitativa(NOTAS: 1 PIOR NOTA; 5 MELHOR NOTA)]],Tabela2[[#This Row],[Nota de Prioridade Qualitativa(NOTAS: 1 PIOR NOTA;  5 MELHOR NOTA)]])</f>
        <v/>
      </c>
      <c r="AO214" s="7" t="n">
        <v>153356</v>
      </c>
      <c r="AP214" s="64">
        <f>SUM(Tabela2[[#This Row],[Nota de Prioridade Quantitativa(NOTAS: 1 PIOR NOTA; 5 MELHOR NOTA)]],Tabela2[[#This Row],[Nota de Prioridade Qualitativa(NOTAS: 1 PIOR NOTA;  5 MELHOR NOTA)]])</f>
        <v/>
      </c>
      <c r="AQ214" s="64" t="n"/>
      <c r="AR214" s="64">
        <f>SUM(Tabela2[[#This Row],[Nota de Prioridade Quantitativa(NOTAS: 1 PIOR NOTA; 5 MELHOR NOTA)]],Tabela2[[#This Row],[Nota de Prioridade Qualitativa(NOTAS: 1 PIOR NOTA;  5 MELHOR NOTA)]])</f>
        <v/>
      </c>
      <c r="AS214" s="7" t="n"/>
      <c r="BB214" t="n">
        <v>0</v>
      </c>
      <c r="BC214" t="n">
        <v>0</v>
      </c>
      <c r="BD214" t="n">
        <v>0</v>
      </c>
      <c r="BE214" t="n">
        <v>0</v>
      </c>
      <c r="BF214" t="inlineStr">
        <is>
          <t>CONFORME</t>
        </is>
      </c>
    </row>
    <row r="215" hidden="1" ht="21.75" customHeight="1" thickBot="1">
      <c r="A215" s="77" t="inlineStr">
        <is>
          <t>VGR</t>
        </is>
      </c>
      <c r="B215" t="inlineStr">
        <is>
          <t>Aboboras</t>
        </is>
      </c>
      <c r="C215" s="80" t="inlineStr">
        <is>
          <t>TE2411</t>
        </is>
      </c>
      <c r="D215" t="inlineStr">
        <is>
          <t>AFEX</t>
        </is>
      </c>
      <c r="E215" t="inlineStr">
        <is>
          <t>CATERPILLAR</t>
        </is>
      </c>
      <c r="F215" t="inlineStr">
        <is>
          <t>CAT D10T</t>
        </is>
      </c>
      <c r="G215" s="81">
        <f>IFERROR(IF(F215=$AB$2,"",VLOOKUP(F215,'DATASHEET EQUIPAMENTOS'!D:N,2,FALSE)),"")</f>
        <v/>
      </c>
      <c r="H215" s="82" t="n"/>
      <c r="I215" s="57">
        <f>_xlfn.XLOOKUP(Tabela2[[#This Row],[Modelo]],'DATASHEET EQUIPAMENTOS'!D:D,'DATASHEET EQUIPAMENTOS'!P:P,"",0,1)</f>
        <v/>
      </c>
      <c r="J215" s="81">
        <f>IF(F215=$Z$2,"",VLOOKUP(F215,'DATASHEET EQUIPAMENTOS'!D:N,3,FALSE))</f>
        <v/>
      </c>
      <c r="K215" s="85" t="n"/>
      <c r="L215" s="95">
        <f>IF(AZ215="CONFORME","CONFORME ✓","NÃO CONFORME ✗")</f>
        <v/>
      </c>
      <c r="M215" s="124">
        <f>IF(F215=$Z$2,"",VLOOKUP(F215,'DATASHEET EQUIPAMENTOS'!D:N,4,FALSE))</f>
        <v/>
      </c>
      <c r="N215" s="57" t="n"/>
      <c r="O215" s="125">
        <f>IF(F215=$Z$2,"",VLOOKUP(F215,'DATASHEET EQUIPAMENTOS'!D:N,5,FALSE))</f>
        <v/>
      </c>
      <c r="P215" s="57" t="n"/>
      <c r="Q215" s="56">
        <f>IF(F215=$Z$2,"",VLOOKUP(F215,'DATASHEET EQUIPAMENTOS'!D:N,6,FALSE))</f>
        <v/>
      </c>
      <c r="R215" s="57" t="n"/>
      <c r="S215" s="126">
        <f>IF(Tabela2[[#This Row],[Instalado Sensor Motor]]="Linear","CONFORME ✓",IF(SUM(M215,O215,Q215)&lt;SUM(N215,P215,R215),"CONFORME ✓",IF(SUM(M215,O215,Q215)=SUM(N215,P215,R215),"CONFORME ✓","NÃO CONFORME ✗")))</f>
        <v/>
      </c>
      <c r="T215" s="56">
        <f>IF(F215=$Z$2,"",VLOOKUP(F215,'DATASHEET EQUIPAMENTOS'!D:N,7,FALSE))</f>
        <v/>
      </c>
      <c r="U215" s="57" t="n"/>
      <c r="V215" s="56">
        <f>IF(F215=$Z$2,"",VLOOKUP(F215,'DATASHEET EQUIPAMENTOS'!D:N,8,FALSE))</f>
        <v/>
      </c>
      <c r="W215" s="57" t="n"/>
      <c r="X215" s="56">
        <f>IF(F215=$Z$2,"",VLOOKUP(F215,'DATASHEET EQUIPAMENTOS'!D:N,9,FALSE))</f>
        <v/>
      </c>
      <c r="Y215" s="57" t="n"/>
      <c r="Z215" s="57">
        <f>IF(SUM(T215,V215,X215)&lt;=SUM(U215,W215,Y215),"CONFORME ✓",IF(SUM(T215,V215,X215)&gt;SUM(U215,W215,Y215),"NÃO CONFORME ✗"))</f>
        <v/>
      </c>
      <c r="AA215" s="56">
        <f>IF(F215=$Z$2,"",VLOOKUP(F215,'DATASHEET EQUIPAMENTOS'!D:N,10,FALSE))</f>
        <v/>
      </c>
      <c r="AB215" s="57" t="n"/>
      <c r="AC215" s="56">
        <f>IF(F215=$Z$2,"",VLOOKUP(F215,'DATASHEET EQUIPAMENTOS'!D:N,11,FALSE))</f>
        <v/>
      </c>
      <c r="AD215" s="57" t="n"/>
      <c r="AE215" s="56">
        <f>IF(F215=$Z$2,"",VLOOKUP(F215,'DATASHEET EQUIPAMENTOS'!D:O,12,FALSE))</f>
        <v/>
      </c>
      <c r="AF215" s="57" t="n"/>
      <c r="AG215" s="127">
        <f>IF(SUM(AA215,AC215,AE215)&lt;=SUM(AB215,AD215,AF215),"CONFORME ✓",IF(SUM(AA215,AC215,AE215)&gt;SUM(AB215,AD215,AF215),"NÃO CONFORME ✗"))</f>
        <v/>
      </c>
      <c r="AH215" s="128" t="n"/>
      <c r="AI215" s="129" t="n"/>
      <c r="AJ215" s="130" t="n"/>
      <c r="AK215" s="131" t="n"/>
      <c r="AL215" s="58">
        <f>IFERROR(CALCULOS!H210,"NECESSÁRIO REVISAR DATASHEET")</f>
        <v/>
      </c>
      <c r="AM21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5" s="64">
        <f>SUM(Tabela2[[#This Row],[Nota de Prioridade Quantitativa(NOTAS: 1 PIOR NOTA; 5 MELHOR NOTA)]],Tabela2[[#This Row],[Nota de Prioridade Qualitativa(NOTAS: 1 PIOR NOTA;  5 MELHOR NOTA)]])</f>
        <v/>
      </c>
      <c r="AO215" s="7" t="n">
        <v>153141</v>
      </c>
      <c r="AP215" s="64">
        <f>SUM(Tabela2[[#This Row],[Nota de Prioridade Quantitativa(NOTAS: 1 PIOR NOTA; 5 MELHOR NOTA)]],Tabela2[[#This Row],[Nota de Prioridade Qualitativa(NOTAS: 1 PIOR NOTA;  5 MELHOR NOTA)]])</f>
        <v/>
      </c>
      <c r="AQ215" s="64" t="n"/>
      <c r="AR215" s="64">
        <f>SUM(Tabela2[[#This Row],[Nota de Prioridade Quantitativa(NOTAS: 1 PIOR NOTA; 5 MELHOR NOTA)]],Tabela2[[#This Row],[Nota de Prioridade Qualitativa(NOTAS: 1 PIOR NOTA;  5 MELHOR NOTA)]])</f>
        <v/>
      </c>
      <c r="AS215" s="7" t="n"/>
      <c r="BB215" t="n">
        <v>0</v>
      </c>
      <c r="BC215" t="n">
        <v>0</v>
      </c>
      <c r="BD215" t="n">
        <v>0</v>
      </c>
      <c r="BE215" t="n">
        <v>0</v>
      </c>
      <c r="BF215" t="inlineStr">
        <is>
          <t>CONFORME</t>
        </is>
      </c>
    </row>
    <row r="216" hidden="1" ht="21.75" customHeight="1" thickBot="1">
      <c r="A216" s="77" t="inlineStr">
        <is>
          <t>VGR</t>
        </is>
      </c>
      <c r="B216" t="inlineStr">
        <is>
          <t>Aboboras</t>
        </is>
      </c>
      <c r="C216" s="80" t="inlineStr">
        <is>
          <t>PF7112</t>
        </is>
      </c>
      <c r="D216" t="inlineStr">
        <is>
          <t>AFEX</t>
        </is>
      </c>
      <c r="E216" t="inlineStr">
        <is>
          <t>EPIROC</t>
        </is>
      </c>
      <c r="F216" s="4" t="inlineStr">
        <is>
          <t>EPIROC D65</t>
        </is>
      </c>
      <c r="G216" s="81">
        <f>IFERROR(IF(F216=$AB$2,"",VLOOKUP(F216,'DATASHEET EQUIPAMENTOS'!D:N,2,FALSE)),"")</f>
        <v/>
      </c>
      <c r="H216" s="82" t="n"/>
      <c r="I216" s="57">
        <f>_xlfn.XLOOKUP(Tabela2[[#This Row],[Modelo]],'DATASHEET EQUIPAMENTOS'!D:D,'DATASHEET EQUIPAMENTOS'!P:P,"",0,1)</f>
        <v/>
      </c>
      <c r="J216" s="81">
        <f>IF(F216=$Z$2,"",VLOOKUP(F216,'DATASHEET EQUIPAMENTOS'!D:N,3,FALSE))</f>
        <v/>
      </c>
      <c r="K216" s="85" t="n"/>
      <c r="L216" s="95">
        <f>IF(AZ216="CONFORME","CONFORME ✓","NÃO CONFORME ✗")</f>
        <v/>
      </c>
      <c r="M216" s="124">
        <f>IF(F216=$Z$2,"",VLOOKUP(F216,'DATASHEET EQUIPAMENTOS'!D:N,4,FALSE))</f>
        <v/>
      </c>
      <c r="N216" s="57" t="n"/>
      <c r="O216" s="125">
        <f>IF(F216=$Z$2,"",VLOOKUP(F216,'DATASHEET EQUIPAMENTOS'!D:N,5,FALSE))</f>
        <v/>
      </c>
      <c r="P216" s="57" t="n"/>
      <c r="Q216" s="56">
        <f>IF(F216=$Z$2,"",VLOOKUP(F216,'DATASHEET EQUIPAMENTOS'!D:N,6,FALSE))</f>
        <v/>
      </c>
      <c r="R216" s="57" t="n"/>
      <c r="S216" s="126">
        <f>IF(Tabela2[[#This Row],[Instalado Sensor Motor]]="Linear","CONFORME ✓",IF(SUM(M216,O216,Q216)&lt;SUM(N216,P216,R216),"CONFORME ✓",IF(SUM(M216,O216,Q216)=SUM(N216,P216,R216),"CONFORME ✓","NÃO CONFORME ✗")))</f>
        <v/>
      </c>
      <c r="T216" s="56">
        <f>IF(F216=$Z$2,"",VLOOKUP(F216,'DATASHEET EQUIPAMENTOS'!D:N,7,FALSE))</f>
        <v/>
      </c>
      <c r="U216" s="57" t="n"/>
      <c r="V216" s="56">
        <f>IF(F216=$Z$2,"",VLOOKUP(F216,'DATASHEET EQUIPAMENTOS'!D:N,8,FALSE))</f>
        <v/>
      </c>
      <c r="W216" s="57" t="n"/>
      <c r="X216" s="56">
        <f>IF(F216=$Z$2,"",VLOOKUP(F216,'DATASHEET EQUIPAMENTOS'!D:N,9,FALSE))</f>
        <v/>
      </c>
      <c r="Y216" s="57" t="n"/>
      <c r="Z216" s="57">
        <f>IF(SUM(T216,V216,X216)&lt;=SUM(U216,W216,Y216),"CONFORME ✓",IF(SUM(T216,V216,X216)&gt;SUM(U216,W216,Y216),"NÃO CONFORME ✗"))</f>
        <v/>
      </c>
      <c r="AA216" s="56">
        <f>IF(F216=$Z$2,"",VLOOKUP(F216,'DATASHEET EQUIPAMENTOS'!D:N,10,FALSE))</f>
        <v/>
      </c>
      <c r="AB216" s="57" t="n"/>
      <c r="AC216" s="56">
        <f>IF(F216=$Z$2,"",VLOOKUP(F216,'DATASHEET EQUIPAMENTOS'!D:N,11,FALSE))</f>
        <v/>
      </c>
      <c r="AD216" s="57" t="n"/>
      <c r="AE216" s="56">
        <f>IF(F216=$Z$2,"",VLOOKUP(F216,'DATASHEET EQUIPAMENTOS'!D:O,12,FALSE))</f>
        <v/>
      </c>
      <c r="AF216" s="57" t="n"/>
      <c r="AG216" s="127">
        <f>IF(SUM(AA216,AC216,AE216)&lt;=SUM(AB216,AD216,AF216),"CONFORME ✓",IF(SUM(AA216,AC216,AE216)&gt;SUM(AB216,AD216,AF216),"NÃO CONFORME ✗"))</f>
        <v/>
      </c>
      <c r="AH216" s="128" t="n"/>
      <c r="AI216" s="129" t="n"/>
      <c r="AJ216" s="130" t="n"/>
      <c r="AK216" s="131" t="n"/>
      <c r="AL216" s="58">
        <f>IFERROR(CALCULOS!H211,"NECESSÁRIO REVISAR DATASHEET")</f>
        <v/>
      </c>
      <c r="AM21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6" s="64">
        <f>SUM(Tabela2[[#This Row],[Nota de Prioridade Quantitativa(NOTAS: 1 PIOR NOTA; 5 MELHOR NOTA)]],Tabela2[[#This Row],[Nota de Prioridade Qualitativa(NOTAS: 1 PIOR NOTA;  5 MELHOR NOTA)]])</f>
        <v/>
      </c>
      <c r="AO216" s="7" t="n">
        <v>153138</v>
      </c>
      <c r="AP216" s="64">
        <f>SUM(Tabela2[[#This Row],[Nota de Prioridade Quantitativa(NOTAS: 1 PIOR NOTA; 5 MELHOR NOTA)]],Tabela2[[#This Row],[Nota de Prioridade Qualitativa(NOTAS: 1 PIOR NOTA;  5 MELHOR NOTA)]])</f>
        <v/>
      </c>
      <c r="AQ216" s="64" t="n"/>
      <c r="AR216" s="64">
        <f>SUM(Tabela2[[#This Row],[Nota de Prioridade Quantitativa(NOTAS: 1 PIOR NOTA; 5 MELHOR NOTA)]],Tabela2[[#This Row],[Nota de Prioridade Qualitativa(NOTAS: 1 PIOR NOTA;  5 MELHOR NOTA)]])</f>
        <v/>
      </c>
      <c r="AS216" s="7" t="n"/>
      <c r="BB216" t="n">
        <v>0</v>
      </c>
      <c r="BC216" t="n">
        <v>0</v>
      </c>
      <c r="BD216" t="n">
        <v>0</v>
      </c>
      <c r="BE216" t="n">
        <v>0</v>
      </c>
      <c r="BF216" t="inlineStr">
        <is>
          <t>CONFORME</t>
        </is>
      </c>
    </row>
    <row r="217" hidden="1" ht="21.75" customHeight="1" thickBot="1">
      <c r="A217" s="77" t="inlineStr">
        <is>
          <t>Paraoupeba</t>
        </is>
      </c>
      <c r="B217" t="inlineStr">
        <is>
          <t>Horizontes</t>
        </is>
      </c>
      <c r="C217" s="80" t="inlineStr">
        <is>
          <t>CA5410</t>
        </is>
      </c>
      <c r="D217" t="inlineStr">
        <is>
          <t>AFEX</t>
        </is>
      </c>
      <c r="E217" t="inlineStr">
        <is>
          <t>CATERPILLAR</t>
        </is>
      </c>
      <c r="F217" t="inlineStr">
        <is>
          <t>CAT 785</t>
        </is>
      </c>
      <c r="G217" s="81">
        <f>IFERROR(IF(F217=$AB$2,"",VLOOKUP(F217,'DATASHEET EQUIPAMENTOS'!D:N,2,FALSE)),"")</f>
        <v/>
      </c>
      <c r="H217" s="82" t="n"/>
      <c r="I217" s="57">
        <f>_xlfn.XLOOKUP(Tabela2[[#This Row],[Modelo]],'DATASHEET EQUIPAMENTOS'!D:D,'DATASHEET EQUIPAMENTOS'!P:P,"",0,1)</f>
        <v/>
      </c>
      <c r="J217" s="81">
        <f>IF(F217=$Z$2,"",VLOOKUP(F217,'DATASHEET EQUIPAMENTOS'!D:N,3,FALSE))</f>
        <v/>
      </c>
      <c r="K217" s="85" t="n"/>
      <c r="L217" s="95">
        <f>IF(AZ217="CONFORME","CONFORME ✓","NÃO CONFORME ✗")</f>
        <v/>
      </c>
      <c r="M217" s="124">
        <f>IF(F217=$Z$2,"",VLOOKUP(F217,'DATASHEET EQUIPAMENTOS'!D:N,4,FALSE))</f>
        <v/>
      </c>
      <c r="N217" s="57" t="n"/>
      <c r="O217" s="125">
        <f>IF(F217=$Z$2,"",VLOOKUP(F217,'DATASHEET EQUIPAMENTOS'!D:N,5,FALSE))</f>
        <v/>
      </c>
      <c r="P217" s="57" t="n"/>
      <c r="Q217" s="56">
        <f>IF(F217=$Z$2,"",VLOOKUP(F217,'DATASHEET EQUIPAMENTOS'!D:N,6,FALSE))</f>
        <v/>
      </c>
      <c r="R217" s="57" t="n"/>
      <c r="S217" s="126">
        <f>IF(Tabela2[[#This Row],[Instalado Sensor Motor]]="Linear","CONFORME ✓",IF(SUM(M217,O217,Q217)&lt;SUM(N217,P217,R217),"CONFORME ✓",IF(SUM(M217,O217,Q217)=SUM(N217,P217,R217),"CONFORME ✓","NÃO CONFORME ✗")))</f>
        <v/>
      </c>
      <c r="T217" s="56">
        <f>IF(F217=$Z$2,"",VLOOKUP(F217,'DATASHEET EQUIPAMENTOS'!D:N,7,FALSE))</f>
        <v/>
      </c>
      <c r="U217" s="57" t="n"/>
      <c r="V217" s="56">
        <f>IF(F217=$Z$2,"",VLOOKUP(F217,'DATASHEET EQUIPAMENTOS'!D:N,8,FALSE))</f>
        <v/>
      </c>
      <c r="W217" s="57" t="n"/>
      <c r="X217" s="56">
        <f>IF(F217=$Z$2,"",VLOOKUP(F217,'DATASHEET EQUIPAMENTOS'!D:N,9,FALSE))</f>
        <v/>
      </c>
      <c r="Y217" s="57" t="n"/>
      <c r="Z217" s="57">
        <f>IF(SUM(T217,V217,X217)&lt;=SUM(U217,W217,Y217),"CONFORME ✓",IF(SUM(T217,V217,X217)&gt;SUM(U217,W217,Y217),"NÃO CONFORME ✗"))</f>
        <v/>
      </c>
      <c r="AA217" s="56">
        <f>IF(F217=$Z$2,"",VLOOKUP(F217,'DATASHEET EQUIPAMENTOS'!D:N,10,FALSE))</f>
        <v/>
      </c>
      <c r="AB217" s="57" t="n"/>
      <c r="AC217" s="56">
        <f>IF(F217=$Z$2,"",VLOOKUP(F217,'DATASHEET EQUIPAMENTOS'!D:N,11,FALSE))</f>
        <v/>
      </c>
      <c r="AD217" s="57" t="n"/>
      <c r="AE217" s="56">
        <f>IF(F217=$Z$2,"",VLOOKUP(F217,'DATASHEET EQUIPAMENTOS'!D:O,12,FALSE))</f>
        <v/>
      </c>
      <c r="AF217" s="57" t="n"/>
      <c r="AG217" s="127">
        <f>IF(SUM(AA217,AC217,AE217)&lt;=SUM(AB217,AD217,AF217),"CONFORME ✓",IF(SUM(AA217,AC217,AE217)&gt;SUM(AB217,AD217,AF217),"NÃO CONFORME ✗"))</f>
        <v/>
      </c>
      <c r="AH217" s="128" t="n"/>
      <c r="AI217" s="129" t="n"/>
      <c r="AJ217" s="130" t="n"/>
      <c r="AK217" s="131" t="n"/>
      <c r="AL217" s="58">
        <f>IFERROR(CALCULOS!H212,"NECESSÁRIO REVISAR DATASHEET")</f>
        <v/>
      </c>
      <c r="AM21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7" s="64">
        <f>SUM(Tabela2[[#This Row],[Nota de Prioridade Quantitativa(NOTAS: 1 PIOR NOTA; 5 MELHOR NOTA)]],Tabela2[[#This Row],[Nota de Prioridade Qualitativa(NOTAS: 1 PIOR NOTA;  5 MELHOR NOTA)]])</f>
        <v/>
      </c>
      <c r="AO217" s="7" t="n">
        <v>153037</v>
      </c>
      <c r="AP217" s="64">
        <f>SUM(Tabela2[[#This Row],[Nota de Prioridade Quantitativa(NOTAS: 1 PIOR NOTA; 5 MELHOR NOTA)]],Tabela2[[#This Row],[Nota de Prioridade Qualitativa(NOTAS: 1 PIOR NOTA;  5 MELHOR NOTA)]])</f>
        <v/>
      </c>
      <c r="AQ217" s="64" t="n"/>
      <c r="AR217" s="64">
        <f>SUM(Tabela2[[#This Row],[Nota de Prioridade Quantitativa(NOTAS: 1 PIOR NOTA; 5 MELHOR NOTA)]],Tabela2[[#This Row],[Nota de Prioridade Qualitativa(NOTAS: 1 PIOR NOTA;  5 MELHOR NOTA)]])</f>
        <v/>
      </c>
      <c r="AS217" s="7" t="n"/>
      <c r="BB217" t="n">
        <v>0</v>
      </c>
      <c r="BC217" t="n">
        <v>0</v>
      </c>
      <c r="BD217" t="n">
        <v>0</v>
      </c>
      <c r="BE217" t="n">
        <v>0</v>
      </c>
      <c r="BF217" t="inlineStr">
        <is>
          <t>CONFORME</t>
        </is>
      </c>
    </row>
    <row r="218" hidden="1" ht="21.75" customHeight="1" thickBot="1">
      <c r="A218" s="77" t="inlineStr">
        <is>
          <t>Paraoupeba</t>
        </is>
      </c>
      <c r="B218" t="inlineStr">
        <is>
          <t>Horizontes</t>
        </is>
      </c>
      <c r="C218" s="80" t="inlineStr">
        <is>
          <t>CM4711</t>
        </is>
      </c>
      <c r="D218" t="inlineStr">
        <is>
          <t>AFEX</t>
        </is>
      </c>
      <c r="E218" t="inlineStr">
        <is>
          <t>CATERPILLAR</t>
        </is>
      </c>
      <c r="F218" t="inlineStr">
        <is>
          <t>CAT 785C</t>
        </is>
      </c>
      <c r="G218" s="81">
        <f>IFERROR(IF(F218=$AB$2,"",VLOOKUP(F218,'DATASHEET EQUIPAMENTOS'!D:N,2,FALSE)),"")</f>
        <v/>
      </c>
      <c r="H218" s="82" t="n"/>
      <c r="I218" s="57">
        <f>_xlfn.XLOOKUP(Tabela2[[#This Row],[Modelo]],'DATASHEET EQUIPAMENTOS'!D:D,'DATASHEET EQUIPAMENTOS'!P:P,"",0,1)</f>
        <v/>
      </c>
      <c r="J218" s="81">
        <f>IF(F218=$Z$2,"",VLOOKUP(F218,'DATASHEET EQUIPAMENTOS'!D:N,3,FALSE))</f>
        <v/>
      </c>
      <c r="K218" s="85" t="n"/>
      <c r="L218" s="95">
        <f>IF(AZ218="CONFORME","CONFORME ✓","NÃO CONFORME ✗")</f>
        <v/>
      </c>
      <c r="M218" s="124">
        <f>IF(F218=$Z$2,"",VLOOKUP(F218,'DATASHEET EQUIPAMENTOS'!D:N,4,FALSE))</f>
        <v/>
      </c>
      <c r="N218" s="57" t="n"/>
      <c r="O218" s="125">
        <f>IF(F218=$Z$2,"",VLOOKUP(F218,'DATASHEET EQUIPAMENTOS'!D:N,5,FALSE))</f>
        <v/>
      </c>
      <c r="P218" s="57" t="n"/>
      <c r="Q218" s="56">
        <f>IF(F218=$Z$2,"",VLOOKUP(F218,'DATASHEET EQUIPAMENTOS'!D:N,6,FALSE))</f>
        <v/>
      </c>
      <c r="R218" s="57" t="n"/>
      <c r="S218" s="126">
        <f>IF(Tabela2[[#This Row],[Instalado Sensor Motor]]="Linear","CONFORME ✓",IF(SUM(M218,O218,Q218)&lt;SUM(N218,P218,R218),"CONFORME ✓",IF(SUM(M218,O218,Q218)=SUM(N218,P218,R218),"CONFORME ✓","NÃO CONFORME ✗")))</f>
        <v/>
      </c>
      <c r="T218" s="56">
        <f>IF(F218=$Z$2,"",VLOOKUP(F218,'DATASHEET EQUIPAMENTOS'!D:N,7,FALSE))</f>
        <v/>
      </c>
      <c r="U218" s="57" t="n"/>
      <c r="V218" s="56">
        <f>IF(F218=$Z$2,"",VLOOKUP(F218,'DATASHEET EQUIPAMENTOS'!D:N,8,FALSE))</f>
        <v/>
      </c>
      <c r="W218" s="57" t="n"/>
      <c r="X218" s="56">
        <f>IF(F218=$Z$2,"",VLOOKUP(F218,'DATASHEET EQUIPAMENTOS'!D:N,9,FALSE))</f>
        <v/>
      </c>
      <c r="Y218" s="57" t="n"/>
      <c r="Z218" s="57">
        <f>IF(SUM(T218,V218,X218)&lt;=SUM(U218,W218,Y218),"CONFORME ✓",IF(SUM(T218,V218,X218)&gt;SUM(U218,W218,Y218),"NÃO CONFORME ✗"))</f>
        <v/>
      </c>
      <c r="AA218" s="56">
        <f>IF(F218=$Z$2,"",VLOOKUP(F218,'DATASHEET EQUIPAMENTOS'!D:N,10,FALSE))</f>
        <v/>
      </c>
      <c r="AB218" s="57" t="n"/>
      <c r="AC218" s="56">
        <f>IF(F218=$Z$2,"",VLOOKUP(F218,'DATASHEET EQUIPAMENTOS'!D:N,11,FALSE))</f>
        <v/>
      </c>
      <c r="AD218" s="57" t="n"/>
      <c r="AE218" s="56">
        <f>IF(F218=$Z$2,"",VLOOKUP(F218,'DATASHEET EQUIPAMENTOS'!D:O,12,FALSE))</f>
        <v/>
      </c>
      <c r="AF218" s="57" t="n"/>
      <c r="AG218" s="127">
        <f>IF(SUM(AA218,AC218,AE218)&lt;=SUM(AB218,AD218,AF218),"CONFORME ✓",IF(SUM(AA218,AC218,AE218)&gt;SUM(AB218,AD218,AF218),"NÃO CONFORME ✗"))</f>
        <v/>
      </c>
      <c r="AH218" s="128" t="n"/>
      <c r="AI218" s="129" t="n"/>
      <c r="AJ218" s="130" t="n"/>
      <c r="AK218" s="131" t="n"/>
      <c r="AL218" s="58">
        <f>IFERROR(CALCULOS!H213,"NECESSÁRIO REVISAR DATASHEET")</f>
        <v/>
      </c>
      <c r="AM21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8" s="64">
        <f>SUM(Tabela2[[#This Row],[Nota de Prioridade Quantitativa(NOTAS: 1 PIOR NOTA; 5 MELHOR NOTA)]],Tabela2[[#This Row],[Nota de Prioridade Qualitativa(NOTAS: 1 PIOR NOTA;  5 MELHOR NOTA)]])</f>
        <v/>
      </c>
      <c r="AO218" s="7" t="n">
        <v>153036</v>
      </c>
      <c r="AP218" s="64">
        <f>SUM(Tabela2[[#This Row],[Nota de Prioridade Quantitativa(NOTAS: 1 PIOR NOTA; 5 MELHOR NOTA)]],Tabela2[[#This Row],[Nota de Prioridade Qualitativa(NOTAS: 1 PIOR NOTA;  5 MELHOR NOTA)]])</f>
        <v/>
      </c>
      <c r="AQ218" s="64" t="n"/>
      <c r="AR218" s="64">
        <f>SUM(Tabela2[[#This Row],[Nota de Prioridade Quantitativa(NOTAS: 1 PIOR NOTA; 5 MELHOR NOTA)]],Tabela2[[#This Row],[Nota de Prioridade Qualitativa(NOTAS: 1 PIOR NOTA;  5 MELHOR NOTA)]])</f>
        <v/>
      </c>
      <c r="AS218" s="7" t="n"/>
      <c r="BB218" t="n">
        <v>0</v>
      </c>
      <c r="BC218" t="n">
        <v>0</v>
      </c>
      <c r="BD218" t="n">
        <v>0</v>
      </c>
      <c r="BE218" t="n">
        <v>0</v>
      </c>
      <c r="BF218" t="inlineStr">
        <is>
          <t>CONFORME</t>
        </is>
      </c>
    </row>
    <row r="219" hidden="1" ht="21.75" customHeight="1" thickBot="1">
      <c r="A219" s="77" t="inlineStr">
        <is>
          <t>VGR</t>
        </is>
      </c>
      <c r="B219" t="inlineStr">
        <is>
          <t>Aboboras</t>
        </is>
      </c>
      <c r="C219" s="80" t="inlineStr">
        <is>
          <t>MN1806</t>
        </is>
      </c>
      <c r="D219" t="inlineStr">
        <is>
          <t>AFEX</t>
        </is>
      </c>
      <c r="E219" t="inlineStr">
        <is>
          <t>CATERPILLAR</t>
        </is>
      </c>
      <c r="F219" t="inlineStr">
        <is>
          <t>CAT 18</t>
        </is>
      </c>
      <c r="G219" s="81">
        <f>IFERROR(IF(F219=$AB$2,"",VLOOKUP(F219,'DATASHEET EQUIPAMENTOS'!D:N,2,FALSE)),"")</f>
        <v/>
      </c>
      <c r="H219" s="82" t="n"/>
      <c r="I219" s="57">
        <f>_xlfn.XLOOKUP(Tabela2[[#This Row],[Modelo]],'DATASHEET EQUIPAMENTOS'!D:D,'DATASHEET EQUIPAMENTOS'!P:P,"",0,1)</f>
        <v/>
      </c>
      <c r="J219" s="81">
        <f>IF(F219=$Z$2,"",VLOOKUP(F219,'DATASHEET EQUIPAMENTOS'!D:N,3,FALSE))</f>
        <v/>
      </c>
      <c r="K219" s="85" t="n"/>
      <c r="L219" s="95">
        <f>IF(AZ219="CONFORME","CONFORME ✓","NÃO CONFORME ✗")</f>
        <v/>
      </c>
      <c r="M219" s="124">
        <f>IF(F219=$Z$2,"",VLOOKUP(F219,'DATASHEET EQUIPAMENTOS'!D:N,4,FALSE))</f>
        <v/>
      </c>
      <c r="N219" s="57" t="n"/>
      <c r="O219" s="125">
        <f>IF(F219=$Z$2,"",VLOOKUP(F219,'DATASHEET EQUIPAMENTOS'!D:N,5,FALSE))</f>
        <v/>
      </c>
      <c r="P219" s="57" t="n"/>
      <c r="Q219" s="56">
        <f>IF(F219=$Z$2,"",VLOOKUP(F219,'DATASHEET EQUIPAMENTOS'!D:N,6,FALSE))</f>
        <v/>
      </c>
      <c r="R219" s="57" t="n"/>
      <c r="S219" s="126">
        <f>IF(Tabela2[[#This Row],[Instalado Sensor Motor]]="Linear","CONFORME ✓",IF(SUM(M219,O219,Q219)&lt;SUM(N219,P219,R219),"CONFORME ✓",IF(SUM(M219,O219,Q219)=SUM(N219,P219,R219),"CONFORME ✓","NÃO CONFORME ✗")))</f>
        <v/>
      </c>
      <c r="T219" s="56">
        <f>IF(F219=$Z$2,"",VLOOKUP(F219,'DATASHEET EQUIPAMENTOS'!D:N,7,FALSE))</f>
        <v/>
      </c>
      <c r="U219" s="57" t="n"/>
      <c r="V219" s="56">
        <f>IF(F219=$Z$2,"",VLOOKUP(F219,'DATASHEET EQUIPAMENTOS'!D:N,8,FALSE))</f>
        <v/>
      </c>
      <c r="W219" s="57" t="n"/>
      <c r="X219" s="56">
        <f>IF(F219=$Z$2,"",VLOOKUP(F219,'DATASHEET EQUIPAMENTOS'!D:N,9,FALSE))</f>
        <v/>
      </c>
      <c r="Y219" s="57" t="n"/>
      <c r="Z219" s="57">
        <f>IF(SUM(T219,V219,X219)&lt;=SUM(U219,W219,Y219),"CONFORME ✓",IF(SUM(T219,V219,X219)&gt;SUM(U219,W219,Y219),"NÃO CONFORME ✗"))</f>
        <v/>
      </c>
      <c r="AA219" s="56">
        <f>IF(F219=$Z$2,"",VLOOKUP(F219,'DATASHEET EQUIPAMENTOS'!D:N,10,FALSE))</f>
        <v/>
      </c>
      <c r="AB219" s="57" t="n"/>
      <c r="AC219" s="56">
        <f>IF(F219=$Z$2,"",VLOOKUP(F219,'DATASHEET EQUIPAMENTOS'!D:N,11,FALSE))</f>
        <v/>
      </c>
      <c r="AD219" s="57" t="n"/>
      <c r="AE219" s="56">
        <f>IF(F219=$Z$2,"",VLOOKUP(F219,'DATASHEET EQUIPAMENTOS'!D:O,12,FALSE))</f>
        <v/>
      </c>
      <c r="AF219" s="57" t="n"/>
      <c r="AG219" s="127">
        <f>IF(SUM(AA219,AC219,AE219)&lt;=SUM(AB219,AD219,AF219),"CONFORME ✓",IF(SUM(AA219,AC219,AE219)&gt;SUM(AB219,AD219,AF219),"NÃO CONFORME ✗"))</f>
        <v/>
      </c>
      <c r="AH219" s="128" t="n"/>
      <c r="AI219" s="129" t="n"/>
      <c r="AJ219" s="130" t="n"/>
      <c r="AK219" s="131" t="n"/>
      <c r="AL219" s="58">
        <f>IFERROR(CALCULOS!H214,"NECESSÁRIO REVISAR DATASHEET")</f>
        <v/>
      </c>
      <c r="AM21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19" s="64">
        <f>SUM(Tabela2[[#This Row],[Nota de Prioridade Quantitativa(NOTAS: 1 PIOR NOTA; 5 MELHOR NOTA)]],Tabela2[[#This Row],[Nota de Prioridade Qualitativa(NOTAS: 1 PIOR NOTA;  5 MELHOR NOTA)]])</f>
        <v/>
      </c>
      <c r="AO219" s="7" t="n">
        <v>152607</v>
      </c>
      <c r="AP219" s="64">
        <f>SUM(Tabela2[[#This Row],[Nota de Prioridade Quantitativa(NOTAS: 1 PIOR NOTA; 5 MELHOR NOTA)]],Tabela2[[#This Row],[Nota de Prioridade Qualitativa(NOTAS: 1 PIOR NOTA;  5 MELHOR NOTA)]])</f>
        <v/>
      </c>
      <c r="AQ219" s="64" t="n"/>
      <c r="AR219" s="64">
        <f>SUM(Tabela2[[#This Row],[Nota de Prioridade Quantitativa(NOTAS: 1 PIOR NOTA; 5 MELHOR NOTA)]],Tabela2[[#This Row],[Nota de Prioridade Qualitativa(NOTAS: 1 PIOR NOTA;  5 MELHOR NOTA)]])</f>
        <v/>
      </c>
      <c r="AS219" s="7" t="n"/>
      <c r="BB219" t="n">
        <v>0</v>
      </c>
      <c r="BC219" t="n">
        <v>0</v>
      </c>
      <c r="BD219" t="n">
        <v>0</v>
      </c>
      <c r="BE219" t="n">
        <v>0</v>
      </c>
      <c r="BF219" t="inlineStr">
        <is>
          <t>CONFORME</t>
        </is>
      </c>
    </row>
    <row r="220" hidden="1" ht="21.75" customHeight="1" thickBot="1">
      <c r="A220" s="77" t="inlineStr">
        <is>
          <t>VGR</t>
        </is>
      </c>
      <c r="B220" t="inlineStr">
        <is>
          <t>Aboboras</t>
        </is>
      </c>
      <c r="C220" s="80" t="inlineStr">
        <is>
          <t>TE3301</t>
        </is>
      </c>
      <c r="D220" t="inlineStr">
        <is>
          <t>AFEX</t>
        </is>
      </c>
      <c r="E220" t="inlineStr">
        <is>
          <t>CATERPILLAR</t>
        </is>
      </c>
      <c r="F220" t="inlineStr">
        <is>
          <t>CAT D9T</t>
        </is>
      </c>
      <c r="G220" s="81">
        <f>IFERROR(IF(F220=$AB$2,"",VLOOKUP(F220,'DATASHEET EQUIPAMENTOS'!D:N,2,FALSE)),"")</f>
        <v/>
      </c>
      <c r="H220" s="82" t="n"/>
      <c r="I220" s="57">
        <f>_xlfn.XLOOKUP(Tabela2[[#This Row],[Modelo]],'DATASHEET EQUIPAMENTOS'!D:D,'DATASHEET EQUIPAMENTOS'!P:P,"",0,1)</f>
        <v/>
      </c>
      <c r="J220" s="81">
        <f>IF(F220=$Z$2,"",VLOOKUP(F220,'DATASHEET EQUIPAMENTOS'!D:N,3,FALSE))</f>
        <v/>
      </c>
      <c r="K220" s="85" t="n"/>
      <c r="L220" s="95">
        <f>IF(AZ220="CONFORME","CONFORME ✓","NÃO CONFORME ✗")</f>
        <v/>
      </c>
      <c r="M220" s="124">
        <f>IF(F220=$Z$2,"",VLOOKUP(F220,'DATASHEET EQUIPAMENTOS'!D:N,4,FALSE))</f>
        <v/>
      </c>
      <c r="N220" s="57" t="n"/>
      <c r="O220" s="125">
        <f>IF(F220=$Z$2,"",VLOOKUP(F220,'DATASHEET EQUIPAMENTOS'!D:N,5,FALSE))</f>
        <v/>
      </c>
      <c r="P220" s="57" t="n"/>
      <c r="Q220" s="56">
        <f>IF(F220=$Z$2,"",VLOOKUP(F220,'DATASHEET EQUIPAMENTOS'!D:N,6,FALSE))</f>
        <v/>
      </c>
      <c r="R220" s="57" t="n"/>
      <c r="S220" s="126">
        <f>IF(Tabela2[[#This Row],[Instalado Sensor Motor]]="Linear","CONFORME ✓",IF(SUM(M220,O220,Q220)&lt;SUM(N220,P220,R220),"CONFORME ✓",IF(SUM(M220,O220,Q220)=SUM(N220,P220,R220),"CONFORME ✓","NÃO CONFORME ✗")))</f>
        <v/>
      </c>
      <c r="T220" s="56">
        <f>IF(F220=$Z$2,"",VLOOKUP(F220,'DATASHEET EQUIPAMENTOS'!D:N,7,FALSE))</f>
        <v/>
      </c>
      <c r="U220" s="57" t="n"/>
      <c r="V220" s="56">
        <f>IF(F220=$Z$2,"",VLOOKUP(F220,'DATASHEET EQUIPAMENTOS'!D:N,8,FALSE))</f>
        <v/>
      </c>
      <c r="W220" s="57" t="n"/>
      <c r="X220" s="56">
        <f>IF(F220=$Z$2,"",VLOOKUP(F220,'DATASHEET EQUIPAMENTOS'!D:N,9,FALSE))</f>
        <v/>
      </c>
      <c r="Y220" s="57" t="n"/>
      <c r="Z220" s="57">
        <f>IF(SUM(T220,V220,X220)&lt;=SUM(U220,W220,Y220),"CONFORME ✓",IF(SUM(T220,V220,X220)&gt;SUM(U220,W220,Y220),"NÃO CONFORME ✗"))</f>
        <v/>
      </c>
      <c r="AA220" s="56">
        <f>IF(F220=$Z$2,"",VLOOKUP(F220,'DATASHEET EQUIPAMENTOS'!D:N,10,FALSE))</f>
        <v/>
      </c>
      <c r="AB220" s="57" t="n"/>
      <c r="AC220" s="56">
        <f>IF(F220=$Z$2,"",VLOOKUP(F220,'DATASHEET EQUIPAMENTOS'!D:N,11,FALSE))</f>
        <v/>
      </c>
      <c r="AD220" s="57" t="n"/>
      <c r="AE220" s="56">
        <f>IF(F220=$Z$2,"",VLOOKUP(F220,'DATASHEET EQUIPAMENTOS'!D:O,12,FALSE))</f>
        <v/>
      </c>
      <c r="AF220" s="57" t="n"/>
      <c r="AG220" s="127">
        <f>IF(SUM(AA220,AC220,AE220)&lt;=SUM(AB220,AD220,AF220),"CONFORME ✓",IF(SUM(AA220,AC220,AE220)&gt;SUM(AB220,AD220,AF220),"NÃO CONFORME ✗"))</f>
        <v/>
      </c>
      <c r="AH220" s="128" t="n"/>
      <c r="AI220" s="129" t="n"/>
      <c r="AJ220" s="130" t="n"/>
      <c r="AK220" s="131" t="n"/>
      <c r="AL220" s="58">
        <f>IFERROR(CALCULOS!H215,"NECESSÁRIO REVISAR DATASHEET")</f>
        <v/>
      </c>
      <c r="AM22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0" s="64">
        <f>SUM(Tabela2[[#This Row],[Nota de Prioridade Quantitativa(NOTAS: 1 PIOR NOTA; 5 MELHOR NOTA)]],Tabela2[[#This Row],[Nota de Prioridade Qualitativa(NOTAS: 1 PIOR NOTA;  5 MELHOR NOTA)]])</f>
        <v/>
      </c>
      <c r="AO220" s="7" t="n">
        <v>152318</v>
      </c>
      <c r="AP220" s="64">
        <f>SUM(Tabela2[[#This Row],[Nota de Prioridade Quantitativa(NOTAS: 1 PIOR NOTA; 5 MELHOR NOTA)]],Tabela2[[#This Row],[Nota de Prioridade Qualitativa(NOTAS: 1 PIOR NOTA;  5 MELHOR NOTA)]])</f>
        <v/>
      </c>
      <c r="AQ220" s="64" t="n"/>
      <c r="AR220" s="64">
        <f>SUM(Tabela2[[#This Row],[Nota de Prioridade Quantitativa(NOTAS: 1 PIOR NOTA; 5 MELHOR NOTA)]],Tabela2[[#This Row],[Nota de Prioridade Qualitativa(NOTAS: 1 PIOR NOTA;  5 MELHOR NOTA)]])</f>
        <v/>
      </c>
      <c r="AS220" s="7" t="n"/>
      <c r="BB220" t="n">
        <v>0</v>
      </c>
      <c r="BC220" t="n">
        <v>0</v>
      </c>
      <c r="BD220" t="n">
        <v>0</v>
      </c>
      <c r="BE220" t="n">
        <v>0</v>
      </c>
      <c r="BF220" t="inlineStr">
        <is>
          <t>CONFORME</t>
        </is>
      </c>
    </row>
    <row r="221" hidden="1" ht="21.75" customHeight="1" thickBot="1">
      <c r="A221" s="77" t="inlineStr">
        <is>
          <t>VGR</t>
        </is>
      </c>
      <c r="B221" t="inlineStr">
        <is>
          <t>Pico</t>
        </is>
      </c>
      <c r="C221" s="80" t="inlineStr">
        <is>
          <t>CA5408</t>
        </is>
      </c>
      <c r="D221" t="inlineStr">
        <is>
          <t>AFEX</t>
        </is>
      </c>
      <c r="E221" t="inlineStr">
        <is>
          <t>CATERPILLAR</t>
        </is>
      </c>
      <c r="F221" t="inlineStr">
        <is>
          <t>CAT 785</t>
        </is>
      </c>
      <c r="G221" s="81">
        <f>IFERROR(IF(F221=$AB$2,"",VLOOKUP(F221,'DATASHEET EQUIPAMENTOS'!D:N,2,FALSE)),"")</f>
        <v/>
      </c>
      <c r="H221" s="82" t="n"/>
      <c r="I221" s="57">
        <f>_xlfn.XLOOKUP(Tabela2[[#This Row],[Modelo]],'DATASHEET EQUIPAMENTOS'!D:D,'DATASHEET EQUIPAMENTOS'!P:P,"",0,1)</f>
        <v/>
      </c>
      <c r="J221" s="81">
        <f>IF(F221=$Z$2,"",VLOOKUP(F221,'DATASHEET EQUIPAMENTOS'!D:N,3,FALSE))</f>
        <v/>
      </c>
      <c r="K221" s="85" t="n"/>
      <c r="L221" s="95">
        <f>IF(AZ221="CONFORME","CONFORME ✓","NÃO CONFORME ✗")</f>
        <v/>
      </c>
      <c r="M221" s="124">
        <f>IF(F221=$Z$2,"",VLOOKUP(F221,'DATASHEET EQUIPAMENTOS'!D:N,4,FALSE))</f>
        <v/>
      </c>
      <c r="N221" s="57" t="n"/>
      <c r="O221" s="125">
        <f>IF(F221=$Z$2,"",VLOOKUP(F221,'DATASHEET EQUIPAMENTOS'!D:N,5,FALSE))</f>
        <v/>
      </c>
      <c r="P221" s="57" t="n"/>
      <c r="Q221" s="56">
        <f>IF(F221=$Z$2,"",VLOOKUP(F221,'DATASHEET EQUIPAMENTOS'!D:N,6,FALSE))</f>
        <v/>
      </c>
      <c r="R221" s="57" t="n"/>
      <c r="S221" s="126">
        <f>IF(Tabela2[[#This Row],[Instalado Sensor Motor]]="Linear","CONFORME ✓",IF(SUM(M221,O221,Q221)&lt;SUM(N221,P221,R221),"CONFORME ✓",IF(SUM(M221,O221,Q221)=SUM(N221,P221,R221),"CONFORME ✓","NÃO CONFORME ✗")))</f>
        <v/>
      </c>
      <c r="T221" s="56">
        <f>IF(F221=$Z$2,"",VLOOKUP(F221,'DATASHEET EQUIPAMENTOS'!D:N,7,FALSE))</f>
        <v/>
      </c>
      <c r="U221" s="57" t="n"/>
      <c r="V221" s="56">
        <f>IF(F221=$Z$2,"",VLOOKUP(F221,'DATASHEET EQUIPAMENTOS'!D:N,8,FALSE))</f>
        <v/>
      </c>
      <c r="W221" s="57" t="n"/>
      <c r="X221" s="56">
        <f>IF(F221=$Z$2,"",VLOOKUP(F221,'DATASHEET EQUIPAMENTOS'!D:N,9,FALSE))</f>
        <v/>
      </c>
      <c r="Y221" s="57" t="n"/>
      <c r="Z221" s="57">
        <f>IF(SUM(T221,V221,X221)&lt;=SUM(U221,W221,Y221),"CONFORME ✓",IF(SUM(T221,V221,X221)&gt;SUM(U221,W221,Y221),"NÃO CONFORME ✗"))</f>
        <v/>
      </c>
      <c r="AA221" s="56">
        <f>IF(F221=$Z$2,"",VLOOKUP(F221,'DATASHEET EQUIPAMENTOS'!D:N,10,FALSE))</f>
        <v/>
      </c>
      <c r="AB221" s="57" t="n"/>
      <c r="AC221" s="56">
        <f>IF(F221=$Z$2,"",VLOOKUP(F221,'DATASHEET EQUIPAMENTOS'!D:N,11,FALSE))</f>
        <v/>
      </c>
      <c r="AD221" s="57" t="n"/>
      <c r="AE221" s="56">
        <f>IF(F221=$Z$2,"",VLOOKUP(F221,'DATASHEET EQUIPAMENTOS'!D:O,12,FALSE))</f>
        <v/>
      </c>
      <c r="AF221" s="57" t="n"/>
      <c r="AG221" s="127">
        <f>IF(SUM(AA221,AC221,AE221)&lt;=SUM(AB221,AD221,AF221),"CONFORME ✓",IF(SUM(AA221,AC221,AE221)&gt;SUM(AB221,AD221,AF221),"NÃO CONFORME ✗"))</f>
        <v/>
      </c>
      <c r="AH221" s="128" t="n"/>
      <c r="AI221" s="129" t="n"/>
      <c r="AJ221" s="130" t="n"/>
      <c r="AK221" s="131" t="n"/>
      <c r="AL221" s="58">
        <f>IFERROR(CALCULOS!H216,"NECESSÁRIO REVISAR DATASHEET")</f>
        <v/>
      </c>
      <c r="AM22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1" s="64">
        <f>SUM(Tabela2[[#This Row],[Nota de Prioridade Quantitativa(NOTAS: 1 PIOR NOTA; 5 MELHOR NOTA)]],Tabela2[[#This Row],[Nota de Prioridade Qualitativa(NOTAS: 1 PIOR NOTA;  5 MELHOR NOTA)]])</f>
        <v/>
      </c>
      <c r="AO221" s="7" t="n">
        <v>152236</v>
      </c>
      <c r="AP221" s="64">
        <f>SUM(Tabela2[[#This Row],[Nota de Prioridade Quantitativa(NOTAS: 1 PIOR NOTA; 5 MELHOR NOTA)]],Tabela2[[#This Row],[Nota de Prioridade Qualitativa(NOTAS: 1 PIOR NOTA;  5 MELHOR NOTA)]])</f>
        <v/>
      </c>
      <c r="AQ221" s="64" t="n"/>
      <c r="AR221" s="64">
        <f>SUM(Tabela2[[#This Row],[Nota de Prioridade Quantitativa(NOTAS: 1 PIOR NOTA; 5 MELHOR NOTA)]],Tabela2[[#This Row],[Nota de Prioridade Qualitativa(NOTAS: 1 PIOR NOTA;  5 MELHOR NOTA)]])</f>
        <v/>
      </c>
      <c r="AS221" s="7" t="n"/>
      <c r="BB221" t="n">
        <v>0</v>
      </c>
      <c r="BC221" t="n">
        <v>0</v>
      </c>
      <c r="BD221" t="n">
        <v>0</v>
      </c>
      <c r="BE221" t="n">
        <v>0</v>
      </c>
      <c r="BF221" t="inlineStr">
        <is>
          <t>CONFORME</t>
        </is>
      </c>
    </row>
    <row r="222" hidden="1" ht="21.75" customHeight="1" thickBot="1">
      <c r="A222" s="77" t="inlineStr">
        <is>
          <t>VGR</t>
        </is>
      </c>
      <c r="B222" t="inlineStr">
        <is>
          <t>Pico</t>
        </is>
      </c>
      <c r="C222" s="80" t="inlineStr">
        <is>
          <t>CA5414</t>
        </is>
      </c>
      <c r="D222" t="inlineStr">
        <is>
          <t>AFEX</t>
        </is>
      </c>
      <c r="E222" t="inlineStr">
        <is>
          <t>CATERPILLAR</t>
        </is>
      </c>
      <c r="F222" t="inlineStr">
        <is>
          <t>CAT 785</t>
        </is>
      </c>
      <c r="G222" s="81">
        <f>IFERROR(IF(F222=$AB$2,"",VLOOKUP(F222,'DATASHEET EQUIPAMENTOS'!D:N,2,FALSE)),"")</f>
        <v/>
      </c>
      <c r="H222" s="82" t="n"/>
      <c r="I222" s="57">
        <f>_xlfn.XLOOKUP(Tabela2[[#This Row],[Modelo]],'DATASHEET EQUIPAMENTOS'!D:D,'DATASHEET EQUIPAMENTOS'!P:P,"",0,1)</f>
        <v/>
      </c>
      <c r="J222" s="81">
        <f>IF(F222=$Z$2,"",VLOOKUP(F222,'DATASHEET EQUIPAMENTOS'!D:N,3,FALSE))</f>
        <v/>
      </c>
      <c r="K222" s="85" t="n"/>
      <c r="L222" s="95">
        <f>IF(AZ222="CONFORME","CONFORME ✓","NÃO CONFORME ✗")</f>
        <v/>
      </c>
      <c r="M222" s="124">
        <f>IF(F222=$Z$2,"",VLOOKUP(F222,'DATASHEET EQUIPAMENTOS'!D:N,4,FALSE))</f>
        <v/>
      </c>
      <c r="N222" s="57" t="n"/>
      <c r="O222" s="125">
        <f>IF(F222=$Z$2,"",VLOOKUP(F222,'DATASHEET EQUIPAMENTOS'!D:N,5,FALSE))</f>
        <v/>
      </c>
      <c r="P222" s="57" t="n"/>
      <c r="Q222" s="56">
        <f>IF(F222=$Z$2,"",VLOOKUP(F222,'DATASHEET EQUIPAMENTOS'!D:N,6,FALSE))</f>
        <v/>
      </c>
      <c r="R222" s="57" t="n"/>
      <c r="S222" s="126">
        <f>IF(Tabela2[[#This Row],[Instalado Sensor Motor]]="Linear","CONFORME ✓",IF(SUM(M222,O222,Q222)&lt;SUM(N222,P222,R222),"CONFORME ✓",IF(SUM(M222,O222,Q222)=SUM(N222,P222,R222),"CONFORME ✓","NÃO CONFORME ✗")))</f>
        <v/>
      </c>
      <c r="T222" s="56">
        <f>IF(F222=$Z$2,"",VLOOKUP(F222,'DATASHEET EQUIPAMENTOS'!D:N,7,FALSE))</f>
        <v/>
      </c>
      <c r="U222" s="57" t="n"/>
      <c r="V222" s="56">
        <f>IF(F222=$Z$2,"",VLOOKUP(F222,'DATASHEET EQUIPAMENTOS'!D:N,8,FALSE))</f>
        <v/>
      </c>
      <c r="W222" s="57" t="n"/>
      <c r="X222" s="56">
        <f>IF(F222=$Z$2,"",VLOOKUP(F222,'DATASHEET EQUIPAMENTOS'!D:N,9,FALSE))</f>
        <v/>
      </c>
      <c r="Y222" s="57" t="n"/>
      <c r="Z222" s="57">
        <f>IF(SUM(T222,V222,X222)&lt;=SUM(U222,W222,Y222),"CONFORME ✓",IF(SUM(T222,V222,X222)&gt;SUM(U222,W222,Y222),"NÃO CONFORME ✗"))</f>
        <v/>
      </c>
      <c r="AA222" s="56">
        <f>IF(F222=$Z$2,"",VLOOKUP(F222,'DATASHEET EQUIPAMENTOS'!D:N,10,FALSE))</f>
        <v/>
      </c>
      <c r="AB222" s="57" t="n"/>
      <c r="AC222" s="56">
        <f>IF(F222=$Z$2,"",VLOOKUP(F222,'DATASHEET EQUIPAMENTOS'!D:N,11,FALSE))</f>
        <v/>
      </c>
      <c r="AD222" s="57" t="n"/>
      <c r="AE222" s="56">
        <f>IF(F222=$Z$2,"",VLOOKUP(F222,'DATASHEET EQUIPAMENTOS'!D:O,12,FALSE))</f>
        <v/>
      </c>
      <c r="AF222" s="57" t="n"/>
      <c r="AG222" s="127">
        <f>IF(SUM(AA222,AC222,AE222)&lt;=SUM(AB222,AD222,AF222),"CONFORME ✓",IF(SUM(AA222,AC222,AE222)&gt;SUM(AB222,AD222,AF222),"NÃO CONFORME ✗"))</f>
        <v/>
      </c>
      <c r="AH222" s="128" t="n"/>
      <c r="AI222" s="129" t="n"/>
      <c r="AJ222" s="130" t="n"/>
      <c r="AK222" s="131" t="n"/>
      <c r="AL222" s="58">
        <f>IFERROR(CALCULOS!H217,"NECESSÁRIO REVISAR DATASHEET")</f>
        <v/>
      </c>
      <c r="AM22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2" s="64">
        <f>SUM(Tabela2[[#This Row],[Nota de Prioridade Quantitativa(NOTAS: 1 PIOR NOTA; 5 MELHOR NOTA)]],Tabela2[[#This Row],[Nota de Prioridade Qualitativa(NOTAS: 1 PIOR NOTA;  5 MELHOR NOTA)]])</f>
        <v/>
      </c>
      <c r="AO222" s="7" t="n">
        <v>151810</v>
      </c>
      <c r="AP222" s="64">
        <f>SUM(Tabela2[[#This Row],[Nota de Prioridade Quantitativa(NOTAS: 1 PIOR NOTA; 5 MELHOR NOTA)]],Tabela2[[#This Row],[Nota de Prioridade Qualitativa(NOTAS: 1 PIOR NOTA;  5 MELHOR NOTA)]])</f>
        <v/>
      </c>
      <c r="AQ222" s="64" t="n"/>
      <c r="AR222" s="64">
        <f>SUM(Tabela2[[#This Row],[Nota de Prioridade Quantitativa(NOTAS: 1 PIOR NOTA; 5 MELHOR NOTA)]],Tabela2[[#This Row],[Nota de Prioridade Qualitativa(NOTAS: 1 PIOR NOTA;  5 MELHOR NOTA)]])</f>
        <v/>
      </c>
      <c r="AS222" s="7" t="n"/>
      <c r="BB222" t="n">
        <v>0</v>
      </c>
      <c r="BC222" t="n">
        <v>0</v>
      </c>
      <c r="BD222" t="n">
        <v>0</v>
      </c>
      <c r="BE222" t="n">
        <v>0</v>
      </c>
      <c r="BF222" t="inlineStr">
        <is>
          <t>CONFORME</t>
        </is>
      </c>
    </row>
    <row r="223" hidden="1" ht="21.75" customHeight="1" thickBot="1">
      <c r="A223" s="77" t="inlineStr">
        <is>
          <t>VGR</t>
        </is>
      </c>
      <c r="B223" t="inlineStr">
        <is>
          <t>Pico</t>
        </is>
      </c>
      <c r="C223" s="80" t="inlineStr">
        <is>
          <t>CA5409</t>
        </is>
      </c>
      <c r="D223" t="inlineStr">
        <is>
          <t>AFEX</t>
        </is>
      </c>
      <c r="E223" t="inlineStr">
        <is>
          <t>CATERPILLAR</t>
        </is>
      </c>
      <c r="F223" t="inlineStr">
        <is>
          <t>CAT 785C</t>
        </is>
      </c>
      <c r="G223" s="81">
        <f>IFERROR(IF(F223=$AB$2,"",VLOOKUP(F223,'DATASHEET EQUIPAMENTOS'!D:N,2,FALSE)),"")</f>
        <v/>
      </c>
      <c r="H223" s="82" t="n"/>
      <c r="I223" s="57">
        <f>_xlfn.XLOOKUP(Tabela2[[#This Row],[Modelo]],'DATASHEET EQUIPAMENTOS'!D:D,'DATASHEET EQUIPAMENTOS'!P:P,"",0,1)</f>
        <v/>
      </c>
      <c r="J223" s="81">
        <f>IF(F223=$Z$2,"",VLOOKUP(F223,'DATASHEET EQUIPAMENTOS'!D:N,3,FALSE))</f>
        <v/>
      </c>
      <c r="K223" s="85" t="n"/>
      <c r="L223" s="95">
        <f>IF(AZ223="CONFORME","CONFORME ✓","NÃO CONFORME ✗")</f>
        <v/>
      </c>
      <c r="M223" s="124">
        <f>IF(F223=$Z$2,"",VLOOKUP(F223,'DATASHEET EQUIPAMENTOS'!D:N,4,FALSE))</f>
        <v/>
      </c>
      <c r="N223" s="57" t="n"/>
      <c r="O223" s="125">
        <f>IF(F223=$Z$2,"",VLOOKUP(F223,'DATASHEET EQUIPAMENTOS'!D:N,5,FALSE))</f>
        <v/>
      </c>
      <c r="P223" s="57" t="n"/>
      <c r="Q223" s="56">
        <f>IF(F223=$Z$2,"",VLOOKUP(F223,'DATASHEET EQUIPAMENTOS'!D:N,6,FALSE))</f>
        <v/>
      </c>
      <c r="R223" s="57" t="n"/>
      <c r="S223" s="126">
        <f>IF(Tabela2[[#This Row],[Instalado Sensor Motor]]="Linear","CONFORME ✓",IF(SUM(M223,O223,Q223)&lt;SUM(N223,P223,R223),"CONFORME ✓",IF(SUM(M223,O223,Q223)=SUM(N223,P223,R223),"CONFORME ✓","NÃO CONFORME ✗")))</f>
        <v/>
      </c>
      <c r="T223" s="56">
        <f>IF(F223=$Z$2,"",VLOOKUP(F223,'DATASHEET EQUIPAMENTOS'!D:N,7,FALSE))</f>
        <v/>
      </c>
      <c r="U223" s="57" t="n"/>
      <c r="V223" s="56">
        <f>IF(F223=$Z$2,"",VLOOKUP(F223,'DATASHEET EQUIPAMENTOS'!D:N,8,FALSE))</f>
        <v/>
      </c>
      <c r="W223" s="57" t="n"/>
      <c r="X223" s="56">
        <f>IF(F223=$Z$2,"",VLOOKUP(F223,'DATASHEET EQUIPAMENTOS'!D:N,9,FALSE))</f>
        <v/>
      </c>
      <c r="Y223" s="57" t="n"/>
      <c r="Z223" s="57">
        <f>IF(SUM(T223,V223,X223)&lt;=SUM(U223,W223,Y223),"CONFORME ✓",IF(SUM(T223,V223,X223)&gt;SUM(U223,W223,Y223),"NÃO CONFORME ✗"))</f>
        <v/>
      </c>
      <c r="AA223" s="56">
        <f>IF(F223=$Z$2,"",VLOOKUP(F223,'DATASHEET EQUIPAMENTOS'!D:N,10,FALSE))</f>
        <v/>
      </c>
      <c r="AB223" s="57" t="n"/>
      <c r="AC223" s="56">
        <f>IF(F223=$Z$2,"",VLOOKUP(F223,'DATASHEET EQUIPAMENTOS'!D:N,11,FALSE))</f>
        <v/>
      </c>
      <c r="AD223" s="57" t="n"/>
      <c r="AE223" s="56">
        <f>IF(F223=$Z$2,"",VLOOKUP(F223,'DATASHEET EQUIPAMENTOS'!D:O,12,FALSE))</f>
        <v/>
      </c>
      <c r="AF223" s="57" t="n"/>
      <c r="AG223" s="127">
        <f>IF(SUM(AA223,AC223,AE223)&lt;=SUM(AB223,AD223,AF223),"CONFORME ✓",IF(SUM(AA223,AC223,AE223)&gt;SUM(AB223,AD223,AF223),"NÃO CONFORME ✗"))</f>
        <v/>
      </c>
      <c r="AH223" s="128" t="n"/>
      <c r="AI223" s="129" t="n"/>
      <c r="AJ223" s="130" t="n"/>
      <c r="AK223" s="131" t="n"/>
      <c r="AL223" s="58">
        <f>IFERROR(CALCULOS!H218,"NECESSÁRIO REVISAR DATASHEET")</f>
        <v/>
      </c>
      <c r="AM22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3" s="64">
        <f>SUM(Tabela2[[#This Row],[Nota de Prioridade Quantitativa(NOTAS: 1 PIOR NOTA; 5 MELHOR NOTA)]],Tabela2[[#This Row],[Nota de Prioridade Qualitativa(NOTAS: 1 PIOR NOTA;  5 MELHOR NOTA)]])</f>
        <v/>
      </c>
      <c r="AO223" s="7" t="n">
        <v>151786</v>
      </c>
      <c r="AP223" s="64">
        <f>SUM(Tabela2[[#This Row],[Nota de Prioridade Quantitativa(NOTAS: 1 PIOR NOTA; 5 MELHOR NOTA)]],Tabela2[[#This Row],[Nota de Prioridade Qualitativa(NOTAS: 1 PIOR NOTA;  5 MELHOR NOTA)]])</f>
        <v/>
      </c>
      <c r="AQ223" s="64" t="n"/>
      <c r="AR223" s="64">
        <f>SUM(Tabela2[[#This Row],[Nota de Prioridade Quantitativa(NOTAS: 1 PIOR NOTA; 5 MELHOR NOTA)]],Tabela2[[#This Row],[Nota de Prioridade Qualitativa(NOTAS: 1 PIOR NOTA;  5 MELHOR NOTA)]])</f>
        <v/>
      </c>
      <c r="AS223" s="7" t="n"/>
      <c r="BB223" t="n">
        <v>0</v>
      </c>
      <c r="BC223" t="n">
        <v>0</v>
      </c>
      <c r="BD223" t="n">
        <v>0</v>
      </c>
      <c r="BE223" t="n">
        <v>0</v>
      </c>
      <c r="BF223" t="inlineStr">
        <is>
          <t>CONFORME</t>
        </is>
      </c>
    </row>
    <row r="224" hidden="1" ht="21.75" customHeight="1" thickBot="1">
      <c r="A224" s="77" t="inlineStr">
        <is>
          <t>Paraoupeba</t>
        </is>
      </c>
      <c r="B224" t="inlineStr">
        <is>
          <t>Horizontes</t>
        </is>
      </c>
      <c r="C224" s="80" t="inlineStr">
        <is>
          <t>CA5464</t>
        </is>
      </c>
      <c r="D224" t="inlineStr">
        <is>
          <t>AFEX</t>
        </is>
      </c>
      <c r="E224" t="inlineStr">
        <is>
          <t>CATERPILLAR</t>
        </is>
      </c>
      <c r="F224" t="inlineStr">
        <is>
          <t>CAT 785C</t>
        </is>
      </c>
      <c r="G224" s="81">
        <f>IFERROR(IF(F224=$AB$2,"",VLOOKUP(F224,'DATASHEET EQUIPAMENTOS'!D:N,2,FALSE)),"")</f>
        <v/>
      </c>
      <c r="H224" s="82" t="n"/>
      <c r="I224" s="57">
        <f>_xlfn.XLOOKUP(Tabela2[[#This Row],[Modelo]],'DATASHEET EQUIPAMENTOS'!D:D,'DATASHEET EQUIPAMENTOS'!P:P,"",0,1)</f>
        <v/>
      </c>
      <c r="J224" s="81">
        <f>IF(F224=$Z$2,"",VLOOKUP(F224,'DATASHEET EQUIPAMENTOS'!D:N,3,FALSE))</f>
        <v/>
      </c>
      <c r="K224" s="85" t="n"/>
      <c r="L224" s="95">
        <f>IF(AZ224="CONFORME","CONFORME ✓","NÃO CONFORME ✗")</f>
        <v/>
      </c>
      <c r="M224" s="124">
        <f>IF(F224=$Z$2,"",VLOOKUP(F224,'DATASHEET EQUIPAMENTOS'!D:N,4,FALSE))</f>
        <v/>
      </c>
      <c r="N224" s="57" t="n"/>
      <c r="O224" s="125">
        <f>IF(F224=$Z$2,"",VLOOKUP(F224,'DATASHEET EQUIPAMENTOS'!D:N,5,FALSE))</f>
        <v/>
      </c>
      <c r="P224" s="57" t="n"/>
      <c r="Q224" s="56">
        <f>IF(F224=$Z$2,"",VLOOKUP(F224,'DATASHEET EQUIPAMENTOS'!D:N,6,FALSE))</f>
        <v/>
      </c>
      <c r="R224" s="57" t="n"/>
      <c r="S224" s="126">
        <f>IF(Tabela2[[#This Row],[Instalado Sensor Motor]]="Linear","CONFORME ✓",IF(SUM(M224,O224,Q224)&lt;SUM(N224,P224,R224),"CONFORME ✓",IF(SUM(M224,O224,Q224)=SUM(N224,P224,R224),"CONFORME ✓","NÃO CONFORME ✗")))</f>
        <v/>
      </c>
      <c r="T224" s="56">
        <f>IF(F224=$Z$2,"",VLOOKUP(F224,'DATASHEET EQUIPAMENTOS'!D:N,7,FALSE))</f>
        <v/>
      </c>
      <c r="U224" s="57" t="n"/>
      <c r="V224" s="56">
        <f>IF(F224=$Z$2,"",VLOOKUP(F224,'DATASHEET EQUIPAMENTOS'!D:N,8,FALSE))</f>
        <v/>
      </c>
      <c r="W224" s="57" t="n"/>
      <c r="X224" s="56">
        <f>IF(F224=$Z$2,"",VLOOKUP(F224,'DATASHEET EQUIPAMENTOS'!D:N,9,FALSE))</f>
        <v/>
      </c>
      <c r="Y224" s="57" t="n"/>
      <c r="Z224" s="57">
        <f>IF(SUM(T224,V224,X224)&lt;=SUM(U224,W224,Y224),"CONFORME ✓",IF(SUM(T224,V224,X224)&gt;SUM(U224,W224,Y224),"NÃO CONFORME ✗"))</f>
        <v/>
      </c>
      <c r="AA224" s="56">
        <f>IF(F224=$Z$2,"",VLOOKUP(F224,'DATASHEET EQUIPAMENTOS'!D:N,10,FALSE))</f>
        <v/>
      </c>
      <c r="AB224" s="57" t="n"/>
      <c r="AC224" s="56">
        <f>IF(F224=$Z$2,"",VLOOKUP(F224,'DATASHEET EQUIPAMENTOS'!D:N,11,FALSE))</f>
        <v/>
      </c>
      <c r="AD224" s="57" t="n"/>
      <c r="AE224" s="56">
        <f>IF(F224=$Z$2,"",VLOOKUP(F224,'DATASHEET EQUIPAMENTOS'!D:O,12,FALSE))</f>
        <v/>
      </c>
      <c r="AF224" s="57" t="n"/>
      <c r="AG224" s="127">
        <f>IF(SUM(AA224,AC224,AE224)&lt;=SUM(AB224,AD224,AF224),"CONFORME ✓",IF(SUM(AA224,AC224,AE224)&gt;SUM(AB224,AD224,AF224),"NÃO CONFORME ✗"))</f>
        <v/>
      </c>
      <c r="AH224" s="128" t="n"/>
      <c r="AI224" s="129" t="n"/>
      <c r="AJ224" s="130" t="n"/>
      <c r="AK224" s="131" t="n"/>
      <c r="AL224" s="58">
        <f>IFERROR(CALCULOS!H219,"NECESSÁRIO REVISAR DATASHEET")</f>
        <v/>
      </c>
      <c r="AM22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4" s="64">
        <f>SUM(Tabela2[[#This Row],[Nota de Prioridade Quantitativa(NOTAS: 1 PIOR NOTA; 5 MELHOR NOTA)]],Tabela2[[#This Row],[Nota de Prioridade Qualitativa(NOTAS: 1 PIOR NOTA;  5 MELHOR NOTA)]])</f>
        <v/>
      </c>
      <c r="AO224" s="7" t="n">
        <v>151585</v>
      </c>
      <c r="AP224" s="64">
        <f>SUM(Tabela2[[#This Row],[Nota de Prioridade Quantitativa(NOTAS: 1 PIOR NOTA; 5 MELHOR NOTA)]],Tabela2[[#This Row],[Nota de Prioridade Qualitativa(NOTAS: 1 PIOR NOTA;  5 MELHOR NOTA)]])</f>
        <v/>
      </c>
      <c r="AQ224" s="64" t="n"/>
      <c r="AR224" s="64">
        <f>SUM(Tabela2[[#This Row],[Nota de Prioridade Quantitativa(NOTAS: 1 PIOR NOTA; 5 MELHOR NOTA)]],Tabela2[[#This Row],[Nota de Prioridade Qualitativa(NOTAS: 1 PIOR NOTA;  5 MELHOR NOTA)]])</f>
        <v/>
      </c>
      <c r="AS224" s="7" t="n"/>
      <c r="BB224" t="n">
        <v>0</v>
      </c>
      <c r="BC224" t="n">
        <v>0</v>
      </c>
      <c r="BD224" t="n">
        <v>0</v>
      </c>
      <c r="BE224" t="n">
        <v>0</v>
      </c>
      <c r="BF224" t="inlineStr">
        <is>
          <t>CONFORME</t>
        </is>
      </c>
    </row>
    <row r="225" hidden="1" ht="21.75" customHeight="1" thickBot="1">
      <c r="A225" s="77" t="inlineStr">
        <is>
          <t>VGR</t>
        </is>
      </c>
      <c r="B225" t="inlineStr">
        <is>
          <t>Aboboras</t>
        </is>
      </c>
      <c r="C225" s="80" t="inlineStr">
        <is>
          <t>PF1104</t>
        </is>
      </c>
      <c r="D225" t="inlineStr">
        <is>
          <t>KIDDE</t>
        </is>
      </c>
      <c r="E225" t="inlineStr">
        <is>
          <t>CATERPILLAR</t>
        </is>
      </c>
      <c r="F225" t="inlineStr">
        <is>
          <t>CAT MD6290</t>
        </is>
      </c>
      <c r="G225" s="81">
        <f>IFERROR(IF(F225=$AB$2,"",VLOOKUP(F225,'DATASHEET EQUIPAMENTOS'!D:N,2,FALSE)),"")</f>
        <v/>
      </c>
      <c r="H225" s="82" t="n"/>
      <c r="I225" s="57">
        <f>_xlfn.XLOOKUP(Tabela2[[#This Row],[Modelo]],'DATASHEET EQUIPAMENTOS'!D:D,'DATASHEET EQUIPAMENTOS'!P:P,"",0,1)</f>
        <v/>
      </c>
      <c r="J225" s="81">
        <f>IF(F225=$Z$2,"",VLOOKUP(F225,'DATASHEET EQUIPAMENTOS'!D:N,3,FALSE))</f>
        <v/>
      </c>
      <c r="K225" s="85" t="n"/>
      <c r="L225" s="95">
        <f>IF(AZ225="CONFORME","CONFORME ✓","NÃO CONFORME ✗")</f>
        <v/>
      </c>
      <c r="M225" s="124">
        <f>IF(F225=$Z$2,"",VLOOKUP(F225,'DATASHEET EQUIPAMENTOS'!D:N,4,FALSE))</f>
        <v/>
      </c>
      <c r="N225" s="57" t="n"/>
      <c r="O225" s="125">
        <f>IF(F225=$Z$2,"",VLOOKUP(F225,'DATASHEET EQUIPAMENTOS'!D:N,5,FALSE))</f>
        <v/>
      </c>
      <c r="P225" s="57" t="n"/>
      <c r="Q225" s="56">
        <f>IF(F225=$Z$2,"",VLOOKUP(F225,'DATASHEET EQUIPAMENTOS'!D:N,6,FALSE))</f>
        <v/>
      </c>
      <c r="R225" s="57" t="n"/>
      <c r="S225" s="126">
        <f>IF(Tabela2[[#This Row],[Instalado Sensor Motor]]="Linear","CONFORME ✓",IF(SUM(M225,O225,Q225)&lt;SUM(N225,P225,R225),"CONFORME ✓",IF(SUM(M225,O225,Q225)=SUM(N225,P225,R225),"CONFORME ✓","NÃO CONFORME ✗")))</f>
        <v/>
      </c>
      <c r="T225" s="56">
        <f>IF(F225=$Z$2,"",VLOOKUP(F225,'DATASHEET EQUIPAMENTOS'!D:N,7,FALSE))</f>
        <v/>
      </c>
      <c r="U225" s="57" t="n"/>
      <c r="V225" s="56">
        <f>IF(F225=$Z$2,"",VLOOKUP(F225,'DATASHEET EQUIPAMENTOS'!D:N,8,FALSE))</f>
        <v/>
      </c>
      <c r="W225" s="57" t="n"/>
      <c r="X225" s="56">
        <f>IF(F225=$Z$2,"",VLOOKUP(F225,'DATASHEET EQUIPAMENTOS'!D:N,9,FALSE))</f>
        <v/>
      </c>
      <c r="Y225" s="57" t="n"/>
      <c r="Z225" s="57">
        <f>IF(SUM(T225,V225,X225)&lt;=SUM(U225,W225,Y225),"CONFORME ✓",IF(SUM(T225,V225,X225)&gt;SUM(U225,W225,Y225),"NÃO CONFORME ✗"))</f>
        <v/>
      </c>
      <c r="AA225" s="56">
        <f>IF(F225=$Z$2,"",VLOOKUP(F225,'DATASHEET EQUIPAMENTOS'!D:N,10,FALSE))</f>
        <v/>
      </c>
      <c r="AB225" s="57" t="n"/>
      <c r="AC225" s="56">
        <f>IF(F225=$Z$2,"",VLOOKUP(F225,'DATASHEET EQUIPAMENTOS'!D:N,11,FALSE))</f>
        <v/>
      </c>
      <c r="AD225" s="57" t="n"/>
      <c r="AE225" s="56">
        <f>IF(F225=$Z$2,"",VLOOKUP(F225,'DATASHEET EQUIPAMENTOS'!D:O,12,FALSE))</f>
        <v/>
      </c>
      <c r="AF225" s="57" t="n"/>
      <c r="AG225" s="127">
        <f>IF(SUM(AA225,AC225,AE225)&lt;=SUM(AB225,AD225,AF225),"CONFORME ✓",IF(SUM(AA225,AC225,AE225)&gt;SUM(AB225,AD225,AF225),"NÃO CONFORME ✗"))</f>
        <v/>
      </c>
      <c r="AH225" s="128" t="n"/>
      <c r="AI225" s="129" t="n"/>
      <c r="AJ225" s="130" t="n"/>
      <c r="AK225" s="131" t="n"/>
      <c r="AL225" s="58">
        <f>IFERROR(CALCULOS!H220,"NECESSÁRIO REVISAR DATASHEET")</f>
        <v/>
      </c>
      <c r="AM22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5" s="64">
        <f>SUM(Tabela2[[#This Row],[Nota de Prioridade Quantitativa(NOTAS: 1 PIOR NOTA; 5 MELHOR NOTA)]],Tabela2[[#This Row],[Nota de Prioridade Qualitativa(NOTAS: 1 PIOR NOTA;  5 MELHOR NOTA)]])</f>
        <v/>
      </c>
      <c r="AO225" s="7" t="n">
        <v>151515</v>
      </c>
      <c r="AP225" s="64">
        <f>SUM(Tabela2[[#This Row],[Nota de Prioridade Quantitativa(NOTAS: 1 PIOR NOTA; 5 MELHOR NOTA)]],Tabela2[[#This Row],[Nota de Prioridade Qualitativa(NOTAS: 1 PIOR NOTA;  5 MELHOR NOTA)]])</f>
        <v/>
      </c>
      <c r="AQ225" s="64" t="n"/>
      <c r="AR225" s="64">
        <f>SUM(Tabela2[[#This Row],[Nota de Prioridade Quantitativa(NOTAS: 1 PIOR NOTA; 5 MELHOR NOTA)]],Tabela2[[#This Row],[Nota de Prioridade Qualitativa(NOTAS: 1 PIOR NOTA;  5 MELHOR NOTA)]])</f>
        <v/>
      </c>
      <c r="AS225" s="7" t="n"/>
      <c r="BB225" t="n">
        <v>0</v>
      </c>
      <c r="BC225" t="n">
        <v>0</v>
      </c>
      <c r="BD225" t="n">
        <v>0</v>
      </c>
      <c r="BE225" t="n">
        <v>0</v>
      </c>
      <c r="BF225" t="inlineStr">
        <is>
          <t>CONFORME</t>
        </is>
      </c>
    </row>
    <row r="226" hidden="1" ht="21.75" customHeight="1" thickBot="1">
      <c r="A226" s="77" t="inlineStr">
        <is>
          <t>VGR</t>
        </is>
      </c>
      <c r="B226" t="inlineStr">
        <is>
          <t>Aboboras</t>
        </is>
      </c>
      <c r="C226" s="80" t="inlineStr">
        <is>
          <t>TE2412</t>
        </is>
      </c>
      <c r="D226" t="inlineStr">
        <is>
          <t>AFEX</t>
        </is>
      </c>
      <c r="E226" t="inlineStr">
        <is>
          <t>CATERPILLAR</t>
        </is>
      </c>
      <c r="F226" t="inlineStr">
        <is>
          <t>CAT D10</t>
        </is>
      </c>
      <c r="G226" s="81">
        <f>IFERROR(IF(F226=$AB$2,"",VLOOKUP(F226,'DATASHEET EQUIPAMENTOS'!D:N,2,FALSE)),"")</f>
        <v/>
      </c>
      <c r="H226" s="82" t="n"/>
      <c r="I226" s="57">
        <f>_xlfn.XLOOKUP(Tabela2[[#This Row],[Modelo]],'DATASHEET EQUIPAMENTOS'!D:D,'DATASHEET EQUIPAMENTOS'!P:P,"",0,1)</f>
        <v/>
      </c>
      <c r="J226" s="81">
        <f>IF(F226=$Z$2,"",VLOOKUP(F226,'DATASHEET EQUIPAMENTOS'!D:N,3,FALSE))</f>
        <v/>
      </c>
      <c r="K226" s="85" t="n"/>
      <c r="L226" s="95">
        <f>IF(AZ226="CONFORME","CONFORME ✓","NÃO CONFORME ✗")</f>
        <v/>
      </c>
      <c r="M226" s="124">
        <f>IF(F226=$Z$2,"",VLOOKUP(F226,'DATASHEET EQUIPAMENTOS'!D:N,4,FALSE))</f>
        <v/>
      </c>
      <c r="N226" s="57" t="n"/>
      <c r="O226" s="125">
        <f>IF(F226=$Z$2,"",VLOOKUP(F226,'DATASHEET EQUIPAMENTOS'!D:N,5,FALSE))</f>
        <v/>
      </c>
      <c r="P226" s="57" t="n"/>
      <c r="Q226" s="56">
        <f>IF(F226=$Z$2,"",VLOOKUP(F226,'DATASHEET EQUIPAMENTOS'!D:N,6,FALSE))</f>
        <v/>
      </c>
      <c r="R226" s="57" t="n"/>
      <c r="S226" s="126">
        <f>IF(Tabela2[[#This Row],[Instalado Sensor Motor]]="Linear","CONFORME ✓",IF(SUM(M226,O226,Q226)&lt;SUM(N226,P226,R226),"CONFORME ✓",IF(SUM(M226,O226,Q226)=SUM(N226,P226,R226),"CONFORME ✓","NÃO CONFORME ✗")))</f>
        <v/>
      </c>
      <c r="T226" s="56">
        <f>IF(F226=$Z$2,"",VLOOKUP(F226,'DATASHEET EQUIPAMENTOS'!D:N,7,FALSE))</f>
        <v/>
      </c>
      <c r="U226" s="57" t="n"/>
      <c r="V226" s="56">
        <f>IF(F226=$Z$2,"",VLOOKUP(F226,'DATASHEET EQUIPAMENTOS'!D:N,8,FALSE))</f>
        <v/>
      </c>
      <c r="W226" s="57" t="n"/>
      <c r="X226" s="56">
        <f>IF(F226=$Z$2,"",VLOOKUP(F226,'DATASHEET EQUIPAMENTOS'!D:N,9,FALSE))</f>
        <v/>
      </c>
      <c r="Y226" s="57" t="n"/>
      <c r="Z226" s="57">
        <f>IF(SUM(T226,V226,X226)&lt;=SUM(U226,W226,Y226),"CONFORME ✓",IF(SUM(T226,V226,X226)&gt;SUM(U226,W226,Y226),"NÃO CONFORME ✗"))</f>
        <v/>
      </c>
      <c r="AA226" s="56">
        <f>IF(F226=$Z$2,"",VLOOKUP(F226,'DATASHEET EQUIPAMENTOS'!D:N,10,FALSE))</f>
        <v/>
      </c>
      <c r="AB226" s="57" t="n"/>
      <c r="AC226" s="56">
        <f>IF(F226=$Z$2,"",VLOOKUP(F226,'DATASHEET EQUIPAMENTOS'!D:N,11,FALSE))</f>
        <v/>
      </c>
      <c r="AD226" s="57" t="n"/>
      <c r="AE226" s="56">
        <f>IF(F226=$Z$2,"",VLOOKUP(F226,'DATASHEET EQUIPAMENTOS'!D:O,12,FALSE))</f>
        <v/>
      </c>
      <c r="AF226" s="57" t="n"/>
      <c r="AG226" s="127">
        <f>IF(SUM(AA226,AC226,AE226)&lt;=SUM(AB226,AD226,AF226),"CONFORME ✓",IF(SUM(AA226,AC226,AE226)&gt;SUM(AB226,AD226,AF226),"NÃO CONFORME ✗"))</f>
        <v/>
      </c>
      <c r="AH226" s="128" t="n"/>
      <c r="AI226" s="129" t="n"/>
      <c r="AJ226" s="130" t="n"/>
      <c r="AK226" s="131" t="n"/>
      <c r="AL226" s="58">
        <f>IFERROR(CALCULOS!H221,"NECESSÁRIO REVISAR DATASHEET")</f>
        <v/>
      </c>
      <c r="AM22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6" s="64">
        <f>SUM(Tabela2[[#This Row],[Nota de Prioridade Quantitativa(NOTAS: 1 PIOR NOTA; 5 MELHOR NOTA)]],Tabela2[[#This Row],[Nota de Prioridade Qualitativa(NOTAS: 1 PIOR NOTA;  5 MELHOR NOTA)]])</f>
        <v/>
      </c>
      <c r="AO226" s="7" t="n">
        <v>151514</v>
      </c>
      <c r="AP226" s="64">
        <f>SUM(Tabela2[[#This Row],[Nota de Prioridade Quantitativa(NOTAS: 1 PIOR NOTA; 5 MELHOR NOTA)]],Tabela2[[#This Row],[Nota de Prioridade Qualitativa(NOTAS: 1 PIOR NOTA;  5 MELHOR NOTA)]])</f>
        <v/>
      </c>
      <c r="AQ226" s="64" t="n"/>
      <c r="AR226" s="64">
        <f>SUM(Tabela2[[#This Row],[Nota de Prioridade Quantitativa(NOTAS: 1 PIOR NOTA; 5 MELHOR NOTA)]],Tabela2[[#This Row],[Nota de Prioridade Qualitativa(NOTAS: 1 PIOR NOTA;  5 MELHOR NOTA)]])</f>
        <v/>
      </c>
      <c r="AS226" s="7" t="n"/>
      <c r="BB226" t="n">
        <v>0</v>
      </c>
      <c r="BC226" t="n">
        <v>0</v>
      </c>
      <c r="BD226" t="n">
        <v>0</v>
      </c>
      <c r="BE226" t="n">
        <v>0</v>
      </c>
      <c r="BF226" t="inlineStr">
        <is>
          <t>CONFORME</t>
        </is>
      </c>
    </row>
    <row r="227" hidden="1" ht="21.75" customHeight="1" thickBot="1">
      <c r="A227" s="77" t="inlineStr">
        <is>
          <t>VGR</t>
        </is>
      </c>
      <c r="B227" t="inlineStr">
        <is>
          <t>Aboboras</t>
        </is>
      </c>
      <c r="C227" s="80" t="inlineStr">
        <is>
          <t>TE2419</t>
        </is>
      </c>
      <c r="D227" t="inlineStr">
        <is>
          <t>AFEX</t>
        </is>
      </c>
      <c r="E227" t="inlineStr">
        <is>
          <t>CATERPILLAR</t>
        </is>
      </c>
      <c r="F227" t="inlineStr">
        <is>
          <t>CAT D10T</t>
        </is>
      </c>
      <c r="G227" s="81">
        <f>IFERROR(IF(F227=$AB$2,"",VLOOKUP(F227,'DATASHEET EQUIPAMENTOS'!D:N,2,FALSE)),"")</f>
        <v/>
      </c>
      <c r="H227" s="82" t="n"/>
      <c r="I227" s="57">
        <f>_xlfn.XLOOKUP(Tabela2[[#This Row],[Modelo]],'DATASHEET EQUIPAMENTOS'!D:D,'DATASHEET EQUIPAMENTOS'!P:P,"",0,1)</f>
        <v/>
      </c>
      <c r="J227" s="81">
        <f>IF(F227=$Z$2,"",VLOOKUP(F227,'DATASHEET EQUIPAMENTOS'!D:N,3,FALSE))</f>
        <v/>
      </c>
      <c r="K227" s="85" t="n"/>
      <c r="L227" s="95">
        <f>IF(AZ227="CONFORME","CONFORME ✓","NÃO CONFORME ✗")</f>
        <v/>
      </c>
      <c r="M227" s="124">
        <f>IF(F227=$Z$2,"",VLOOKUP(F227,'DATASHEET EQUIPAMENTOS'!D:N,4,FALSE))</f>
        <v/>
      </c>
      <c r="N227" s="57" t="n"/>
      <c r="O227" s="125">
        <f>IF(F227=$Z$2,"",VLOOKUP(F227,'DATASHEET EQUIPAMENTOS'!D:N,5,FALSE))</f>
        <v/>
      </c>
      <c r="P227" s="57" t="n"/>
      <c r="Q227" s="56">
        <f>IF(F227=$Z$2,"",VLOOKUP(F227,'DATASHEET EQUIPAMENTOS'!D:N,6,FALSE))</f>
        <v/>
      </c>
      <c r="R227" s="57" t="n"/>
      <c r="S227" s="126">
        <f>IF(Tabela2[[#This Row],[Instalado Sensor Motor]]="Linear","CONFORME ✓",IF(SUM(M227,O227,Q227)&lt;SUM(N227,P227,R227),"CONFORME ✓",IF(SUM(M227,O227,Q227)=SUM(N227,P227,R227),"CONFORME ✓","NÃO CONFORME ✗")))</f>
        <v/>
      </c>
      <c r="T227" s="56">
        <f>IF(F227=$Z$2,"",VLOOKUP(F227,'DATASHEET EQUIPAMENTOS'!D:N,7,FALSE))</f>
        <v/>
      </c>
      <c r="U227" s="57" t="n"/>
      <c r="V227" s="56">
        <f>IF(F227=$Z$2,"",VLOOKUP(F227,'DATASHEET EQUIPAMENTOS'!D:N,8,FALSE))</f>
        <v/>
      </c>
      <c r="W227" s="57" t="n"/>
      <c r="X227" s="56">
        <f>IF(F227=$Z$2,"",VLOOKUP(F227,'DATASHEET EQUIPAMENTOS'!D:N,9,FALSE))</f>
        <v/>
      </c>
      <c r="Y227" s="57" t="n"/>
      <c r="Z227" s="57">
        <f>IF(SUM(T227,V227,X227)&lt;=SUM(U227,W227,Y227),"CONFORME ✓",IF(SUM(T227,V227,X227)&gt;SUM(U227,W227,Y227),"NÃO CONFORME ✗"))</f>
        <v/>
      </c>
      <c r="AA227" s="56">
        <f>IF(F227=$Z$2,"",VLOOKUP(F227,'DATASHEET EQUIPAMENTOS'!D:N,10,FALSE))</f>
        <v/>
      </c>
      <c r="AB227" s="57" t="n"/>
      <c r="AC227" s="56">
        <f>IF(F227=$Z$2,"",VLOOKUP(F227,'DATASHEET EQUIPAMENTOS'!D:N,11,FALSE))</f>
        <v/>
      </c>
      <c r="AD227" s="57" t="n"/>
      <c r="AE227" s="56">
        <f>IF(F227=$Z$2,"",VLOOKUP(F227,'DATASHEET EQUIPAMENTOS'!D:O,12,FALSE))</f>
        <v/>
      </c>
      <c r="AF227" s="57" t="n"/>
      <c r="AG227" s="127">
        <f>IF(SUM(AA227,AC227,AE227)&lt;=SUM(AB227,AD227,AF227),"CONFORME ✓",IF(SUM(AA227,AC227,AE227)&gt;SUM(AB227,AD227,AF227),"NÃO CONFORME ✗"))</f>
        <v/>
      </c>
      <c r="AH227" s="128" t="n"/>
      <c r="AI227" s="129" t="n"/>
      <c r="AJ227" s="130" t="n"/>
      <c r="AK227" s="131" t="n"/>
      <c r="AL227" s="58">
        <f>IFERROR(CALCULOS!H222,"NECESSÁRIO REVISAR DATASHEET")</f>
        <v/>
      </c>
      <c r="AM22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7" s="64">
        <f>SUM(Tabela2[[#This Row],[Nota de Prioridade Quantitativa(NOTAS: 1 PIOR NOTA; 5 MELHOR NOTA)]],Tabela2[[#This Row],[Nota de Prioridade Qualitativa(NOTAS: 1 PIOR NOTA;  5 MELHOR NOTA)]])</f>
        <v/>
      </c>
      <c r="AO227" s="7" t="n">
        <v>151459</v>
      </c>
      <c r="AP227" s="64">
        <f>SUM(Tabela2[[#This Row],[Nota de Prioridade Quantitativa(NOTAS: 1 PIOR NOTA; 5 MELHOR NOTA)]],Tabela2[[#This Row],[Nota de Prioridade Qualitativa(NOTAS: 1 PIOR NOTA;  5 MELHOR NOTA)]])</f>
        <v/>
      </c>
      <c r="AQ227" s="64" t="n"/>
      <c r="AR227" s="64">
        <f>SUM(Tabela2[[#This Row],[Nota de Prioridade Quantitativa(NOTAS: 1 PIOR NOTA; 5 MELHOR NOTA)]],Tabela2[[#This Row],[Nota de Prioridade Qualitativa(NOTAS: 1 PIOR NOTA;  5 MELHOR NOTA)]])</f>
        <v/>
      </c>
      <c r="AS227" s="7" t="n"/>
      <c r="BB227" t="n">
        <v>0</v>
      </c>
      <c r="BC227" t="n">
        <v>0</v>
      </c>
      <c r="BD227" t="n">
        <v>0</v>
      </c>
      <c r="BE227" t="n">
        <v>0</v>
      </c>
      <c r="BF227" t="inlineStr">
        <is>
          <t>CONFORME</t>
        </is>
      </c>
    </row>
    <row r="228" hidden="1" ht="21.75" customHeight="1" thickBot="1">
      <c r="A228" s="77" t="inlineStr">
        <is>
          <t>VGR</t>
        </is>
      </c>
      <c r="B228" t="inlineStr">
        <is>
          <t>Aboboras</t>
        </is>
      </c>
      <c r="C228" s="80" t="inlineStr">
        <is>
          <t>PM4345</t>
        </is>
      </c>
      <c r="D228" t="inlineStr">
        <is>
          <t>AFEX</t>
        </is>
      </c>
      <c r="E228" t="inlineStr">
        <is>
          <t>CATERPILLAR</t>
        </is>
      </c>
      <c r="F228" t="inlineStr">
        <is>
          <t>CAT 980L</t>
        </is>
      </c>
      <c r="G228" s="81">
        <f>IFERROR(IF(F228=$AB$2,"",VLOOKUP(F228,'DATASHEET EQUIPAMENTOS'!D:N,2,FALSE)),"")</f>
        <v/>
      </c>
      <c r="H228" s="82" t="n"/>
      <c r="I228" s="57">
        <f>_xlfn.XLOOKUP(Tabela2[[#This Row],[Modelo]],'DATASHEET EQUIPAMENTOS'!D:D,'DATASHEET EQUIPAMENTOS'!P:P,"",0,1)</f>
        <v/>
      </c>
      <c r="J228" s="81">
        <f>IF(F228=$Z$2,"",VLOOKUP(F228,'DATASHEET EQUIPAMENTOS'!D:N,3,FALSE))</f>
        <v/>
      </c>
      <c r="K228" s="85" t="n"/>
      <c r="L228" s="95">
        <f>IF(AZ228="CONFORME","CONFORME ✓","NÃO CONFORME ✗")</f>
        <v/>
      </c>
      <c r="M228" s="124">
        <f>IF(F228=$Z$2,"",VLOOKUP(F228,'DATASHEET EQUIPAMENTOS'!D:N,4,FALSE))</f>
        <v/>
      </c>
      <c r="N228" s="57" t="n"/>
      <c r="O228" s="125">
        <f>IF(F228=$Z$2,"",VLOOKUP(F228,'DATASHEET EQUIPAMENTOS'!D:N,5,FALSE))</f>
        <v/>
      </c>
      <c r="P228" s="57" t="n"/>
      <c r="Q228" s="56">
        <f>IF(F228=$Z$2,"",VLOOKUP(F228,'DATASHEET EQUIPAMENTOS'!D:N,6,FALSE))</f>
        <v/>
      </c>
      <c r="R228" s="57" t="n"/>
      <c r="S228" s="126">
        <f>IF(Tabela2[[#This Row],[Instalado Sensor Motor]]="Linear","CONFORME ✓",IF(SUM(M228,O228,Q228)&lt;SUM(N228,P228,R228),"CONFORME ✓",IF(SUM(M228,O228,Q228)=SUM(N228,P228,R228),"CONFORME ✓","NÃO CONFORME ✗")))</f>
        <v/>
      </c>
      <c r="T228" s="56">
        <f>IF(F228=$Z$2,"",VLOOKUP(F228,'DATASHEET EQUIPAMENTOS'!D:N,7,FALSE))</f>
        <v/>
      </c>
      <c r="U228" s="57" t="n"/>
      <c r="V228" s="56">
        <f>IF(F228=$Z$2,"",VLOOKUP(F228,'DATASHEET EQUIPAMENTOS'!D:N,8,FALSE))</f>
        <v/>
      </c>
      <c r="W228" s="57" t="n"/>
      <c r="X228" s="56">
        <f>IF(F228=$Z$2,"",VLOOKUP(F228,'DATASHEET EQUIPAMENTOS'!D:N,9,FALSE))</f>
        <v/>
      </c>
      <c r="Y228" s="57" t="n"/>
      <c r="Z228" s="57">
        <f>IF(SUM(T228,V228,X228)&lt;=SUM(U228,W228,Y228),"CONFORME ✓",IF(SUM(T228,V228,X228)&gt;SUM(U228,W228,Y228),"NÃO CONFORME ✗"))</f>
        <v/>
      </c>
      <c r="AA228" s="56">
        <f>IF(F228=$Z$2,"",VLOOKUP(F228,'DATASHEET EQUIPAMENTOS'!D:N,10,FALSE))</f>
        <v/>
      </c>
      <c r="AB228" s="57" t="n"/>
      <c r="AC228" s="56">
        <f>IF(F228=$Z$2,"",VLOOKUP(F228,'DATASHEET EQUIPAMENTOS'!D:N,11,FALSE))</f>
        <v/>
      </c>
      <c r="AD228" s="57" t="n"/>
      <c r="AE228" s="56">
        <f>IF(F228=$Z$2,"",VLOOKUP(F228,'DATASHEET EQUIPAMENTOS'!D:O,12,FALSE))</f>
        <v/>
      </c>
      <c r="AF228" s="57" t="n"/>
      <c r="AG228" s="127">
        <f>IF(SUM(AA228,AC228,AE228)&lt;=SUM(AB228,AD228,AF228),"CONFORME ✓",IF(SUM(AA228,AC228,AE228)&gt;SUM(AB228,AD228,AF228),"NÃO CONFORME ✗"))</f>
        <v/>
      </c>
      <c r="AH228" s="128" t="n"/>
      <c r="AI228" s="129" t="n"/>
      <c r="AJ228" s="130" t="n"/>
      <c r="AK228" s="131" t="n"/>
      <c r="AL228" s="58">
        <f>IFERROR(CALCULOS!H223,"NECESSÁRIO REVISAR DATASHEET")</f>
        <v/>
      </c>
      <c r="AM22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8" s="64">
        <f>SUM(Tabela2[[#This Row],[Nota de Prioridade Quantitativa(NOTAS: 1 PIOR NOTA; 5 MELHOR NOTA)]],Tabela2[[#This Row],[Nota de Prioridade Qualitativa(NOTAS: 1 PIOR NOTA;  5 MELHOR NOTA)]])</f>
        <v/>
      </c>
      <c r="AO228" s="7" t="n">
        <v>151453</v>
      </c>
      <c r="AP228" s="64">
        <f>SUM(Tabela2[[#This Row],[Nota de Prioridade Quantitativa(NOTAS: 1 PIOR NOTA; 5 MELHOR NOTA)]],Tabela2[[#This Row],[Nota de Prioridade Qualitativa(NOTAS: 1 PIOR NOTA;  5 MELHOR NOTA)]])</f>
        <v/>
      </c>
      <c r="AQ228" s="64" t="n"/>
      <c r="AR228" s="64">
        <f>SUM(Tabela2[[#This Row],[Nota de Prioridade Quantitativa(NOTAS: 1 PIOR NOTA; 5 MELHOR NOTA)]],Tabela2[[#This Row],[Nota de Prioridade Qualitativa(NOTAS: 1 PIOR NOTA;  5 MELHOR NOTA)]])</f>
        <v/>
      </c>
      <c r="AS228" s="7" t="n"/>
      <c r="BB228" t="n">
        <v>0</v>
      </c>
      <c r="BC228" t="n">
        <v>0</v>
      </c>
      <c r="BD228" t="n">
        <v>0</v>
      </c>
      <c r="BE228" t="n">
        <v>0</v>
      </c>
      <c r="BF228" t="inlineStr">
        <is>
          <t>CONFORME</t>
        </is>
      </c>
    </row>
    <row r="229" hidden="1" ht="21.75" customHeight="1" thickBot="1">
      <c r="A229" s="77" t="inlineStr">
        <is>
          <t>VGR</t>
        </is>
      </c>
      <c r="B229" t="inlineStr">
        <is>
          <t>Aboboras</t>
        </is>
      </c>
      <c r="C229" s="80" t="inlineStr">
        <is>
          <t>CA5493</t>
        </is>
      </c>
      <c r="D229" t="inlineStr">
        <is>
          <t>AFEX</t>
        </is>
      </c>
      <c r="E229" t="inlineStr">
        <is>
          <t>CATERPILLAR</t>
        </is>
      </c>
      <c r="F229" t="inlineStr">
        <is>
          <t>CAT 789D</t>
        </is>
      </c>
      <c r="G229" s="81">
        <f>IFERROR(IF(F229=$AB$2,"",VLOOKUP(F229,'DATASHEET EQUIPAMENTOS'!D:N,2,FALSE)),"")</f>
        <v/>
      </c>
      <c r="H229" s="82" t="n"/>
      <c r="I229" s="57">
        <f>_xlfn.XLOOKUP(Tabela2[[#This Row],[Modelo]],'DATASHEET EQUIPAMENTOS'!D:D,'DATASHEET EQUIPAMENTOS'!P:P,"",0,1)</f>
        <v/>
      </c>
      <c r="J229" s="81">
        <f>IF(F229=$Z$2,"",VLOOKUP(F229,'DATASHEET EQUIPAMENTOS'!D:N,3,FALSE))</f>
        <v/>
      </c>
      <c r="K229" s="85" t="n"/>
      <c r="L229" s="95">
        <f>IF(AZ229="CONFORME","CONFORME ✓","NÃO CONFORME ✗")</f>
        <v/>
      </c>
      <c r="M229" s="124">
        <f>IF(F229=$Z$2,"",VLOOKUP(F229,'DATASHEET EQUIPAMENTOS'!D:N,4,FALSE))</f>
        <v/>
      </c>
      <c r="N229" s="57" t="n"/>
      <c r="O229" s="125">
        <f>IF(F229=$Z$2,"",VLOOKUP(F229,'DATASHEET EQUIPAMENTOS'!D:N,5,FALSE))</f>
        <v/>
      </c>
      <c r="P229" s="57" t="n"/>
      <c r="Q229" s="56">
        <f>IF(F229=$Z$2,"",VLOOKUP(F229,'DATASHEET EQUIPAMENTOS'!D:N,6,FALSE))</f>
        <v/>
      </c>
      <c r="R229" s="57" t="n"/>
      <c r="S229" s="126">
        <f>IF(Tabela2[[#This Row],[Instalado Sensor Motor]]="Linear","CONFORME ✓",IF(SUM(M229,O229,Q229)&lt;SUM(N229,P229,R229),"CONFORME ✓",IF(SUM(M229,O229,Q229)=SUM(N229,P229,R229),"CONFORME ✓","NÃO CONFORME ✗")))</f>
        <v/>
      </c>
      <c r="T229" s="56">
        <f>IF(F229=$Z$2,"",VLOOKUP(F229,'DATASHEET EQUIPAMENTOS'!D:N,7,FALSE))</f>
        <v/>
      </c>
      <c r="U229" s="57" t="n"/>
      <c r="V229" s="56">
        <f>IF(F229=$Z$2,"",VLOOKUP(F229,'DATASHEET EQUIPAMENTOS'!D:N,8,FALSE))</f>
        <v/>
      </c>
      <c r="W229" s="57" t="n"/>
      <c r="X229" s="56">
        <f>IF(F229=$Z$2,"",VLOOKUP(F229,'DATASHEET EQUIPAMENTOS'!D:N,9,FALSE))</f>
        <v/>
      </c>
      <c r="Y229" s="57" t="n"/>
      <c r="Z229" s="57">
        <f>IF(SUM(T229,V229,X229)&lt;=SUM(U229,W229,Y229),"CONFORME ✓",IF(SUM(T229,V229,X229)&gt;SUM(U229,W229,Y229),"NÃO CONFORME ✗"))</f>
        <v/>
      </c>
      <c r="AA229" s="56">
        <f>IF(F229=$Z$2,"",VLOOKUP(F229,'DATASHEET EQUIPAMENTOS'!D:N,10,FALSE))</f>
        <v/>
      </c>
      <c r="AB229" s="57" t="n"/>
      <c r="AC229" s="56">
        <f>IF(F229=$Z$2,"",VLOOKUP(F229,'DATASHEET EQUIPAMENTOS'!D:N,11,FALSE))</f>
        <v/>
      </c>
      <c r="AD229" s="57" t="n"/>
      <c r="AE229" s="56">
        <f>IF(F229=$Z$2,"",VLOOKUP(F229,'DATASHEET EQUIPAMENTOS'!D:O,12,FALSE))</f>
        <v/>
      </c>
      <c r="AF229" s="57" t="n"/>
      <c r="AG229" s="127">
        <f>IF(SUM(AA229,AC229,AE229)&lt;=SUM(AB229,AD229,AF229),"CONFORME ✓",IF(SUM(AA229,AC229,AE229)&gt;SUM(AB229,AD229,AF229),"NÃO CONFORME ✗"))</f>
        <v/>
      </c>
      <c r="AH229" s="128" t="n"/>
      <c r="AI229" s="129" t="n"/>
      <c r="AJ229" s="130" t="n"/>
      <c r="AK229" s="131" t="n"/>
      <c r="AL229" s="58">
        <f>IFERROR(CALCULOS!H224,"NECESSÁRIO REVISAR DATASHEET")</f>
        <v/>
      </c>
      <c r="AM22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29" s="64">
        <f>SUM(Tabela2[[#This Row],[Nota de Prioridade Quantitativa(NOTAS: 1 PIOR NOTA; 5 MELHOR NOTA)]],Tabela2[[#This Row],[Nota de Prioridade Qualitativa(NOTAS: 1 PIOR NOTA;  5 MELHOR NOTA)]])</f>
        <v/>
      </c>
      <c r="AO229" s="7" t="n">
        <v>151430</v>
      </c>
      <c r="AP229" s="64">
        <f>SUM(Tabela2[[#This Row],[Nota de Prioridade Quantitativa(NOTAS: 1 PIOR NOTA; 5 MELHOR NOTA)]],Tabela2[[#This Row],[Nota de Prioridade Qualitativa(NOTAS: 1 PIOR NOTA;  5 MELHOR NOTA)]])</f>
        <v/>
      </c>
      <c r="AQ229" s="64" t="n"/>
      <c r="AR229" s="64">
        <f>SUM(Tabela2[[#This Row],[Nota de Prioridade Quantitativa(NOTAS: 1 PIOR NOTA; 5 MELHOR NOTA)]],Tabela2[[#This Row],[Nota de Prioridade Qualitativa(NOTAS: 1 PIOR NOTA;  5 MELHOR NOTA)]])</f>
        <v/>
      </c>
      <c r="AS229" s="7" t="n"/>
      <c r="BB229" t="n">
        <v>0</v>
      </c>
      <c r="BC229" t="n">
        <v>0</v>
      </c>
      <c r="BD229" t="n">
        <v>0</v>
      </c>
      <c r="BE229" t="n">
        <v>0</v>
      </c>
      <c r="BF229" t="inlineStr">
        <is>
          <t>CONFORME</t>
        </is>
      </c>
    </row>
    <row r="230" hidden="1" ht="21.75" customHeight="1" thickBot="1">
      <c r="A230" s="77" t="inlineStr">
        <is>
          <t>Paraoupeba</t>
        </is>
      </c>
      <c r="B230" t="inlineStr">
        <is>
          <t>Horizontes</t>
        </is>
      </c>
      <c r="C230" s="80" t="inlineStr">
        <is>
          <t>CA5329</t>
        </is>
      </c>
      <c r="D230" t="inlineStr">
        <is>
          <t>AFEX</t>
        </is>
      </c>
      <c r="E230" t="inlineStr">
        <is>
          <t>CATERPILLAR</t>
        </is>
      </c>
      <c r="F230" t="inlineStr">
        <is>
          <t>CAT 785C</t>
        </is>
      </c>
      <c r="G230" s="81">
        <f>IFERROR(IF(F230=$AB$2,"",VLOOKUP(F230,'DATASHEET EQUIPAMENTOS'!D:N,2,FALSE)),"")</f>
        <v/>
      </c>
      <c r="H230" s="82" t="n"/>
      <c r="I230" s="57">
        <f>_xlfn.XLOOKUP(Tabela2[[#This Row],[Modelo]],'DATASHEET EQUIPAMENTOS'!D:D,'DATASHEET EQUIPAMENTOS'!P:P,"",0,1)</f>
        <v/>
      </c>
      <c r="J230" s="81">
        <f>IF(F230=$Z$2,"",VLOOKUP(F230,'DATASHEET EQUIPAMENTOS'!D:N,3,FALSE))</f>
        <v/>
      </c>
      <c r="K230" s="85" t="n"/>
      <c r="L230" s="95">
        <f>IF(AZ230="CONFORME","CONFORME ✓","NÃO CONFORME ✗")</f>
        <v/>
      </c>
      <c r="M230" s="124">
        <f>IF(F230=$Z$2,"",VLOOKUP(F230,'DATASHEET EQUIPAMENTOS'!D:N,4,FALSE))</f>
        <v/>
      </c>
      <c r="N230" s="57" t="n"/>
      <c r="O230" s="125">
        <f>IF(F230=$Z$2,"",VLOOKUP(F230,'DATASHEET EQUIPAMENTOS'!D:N,5,FALSE))</f>
        <v/>
      </c>
      <c r="P230" s="57" t="n"/>
      <c r="Q230" s="56">
        <f>IF(F230=$Z$2,"",VLOOKUP(F230,'DATASHEET EQUIPAMENTOS'!D:N,6,FALSE))</f>
        <v/>
      </c>
      <c r="R230" s="57" t="n"/>
      <c r="S230" s="126">
        <f>IF(Tabela2[[#This Row],[Instalado Sensor Motor]]="Linear","CONFORME ✓",IF(SUM(M230,O230,Q230)&lt;SUM(N230,P230,R230),"CONFORME ✓",IF(SUM(M230,O230,Q230)=SUM(N230,P230,R230),"CONFORME ✓","NÃO CONFORME ✗")))</f>
        <v/>
      </c>
      <c r="T230" s="56">
        <f>IF(F230=$Z$2,"",VLOOKUP(F230,'DATASHEET EQUIPAMENTOS'!D:N,7,FALSE))</f>
        <v/>
      </c>
      <c r="U230" s="57" t="n"/>
      <c r="V230" s="56">
        <f>IF(F230=$Z$2,"",VLOOKUP(F230,'DATASHEET EQUIPAMENTOS'!D:N,8,FALSE))</f>
        <v/>
      </c>
      <c r="W230" s="57" t="n"/>
      <c r="X230" s="56">
        <f>IF(F230=$Z$2,"",VLOOKUP(F230,'DATASHEET EQUIPAMENTOS'!D:N,9,FALSE))</f>
        <v/>
      </c>
      <c r="Y230" s="57" t="n"/>
      <c r="Z230" s="57">
        <f>IF(SUM(T230,V230,X230)&lt;=SUM(U230,W230,Y230),"CONFORME ✓",IF(SUM(T230,V230,X230)&gt;SUM(U230,W230,Y230),"NÃO CONFORME ✗"))</f>
        <v/>
      </c>
      <c r="AA230" s="56">
        <f>IF(F230=$Z$2,"",VLOOKUP(F230,'DATASHEET EQUIPAMENTOS'!D:N,10,FALSE))</f>
        <v/>
      </c>
      <c r="AB230" s="57" t="n"/>
      <c r="AC230" s="56">
        <f>IF(F230=$Z$2,"",VLOOKUP(F230,'DATASHEET EQUIPAMENTOS'!D:N,11,FALSE))</f>
        <v/>
      </c>
      <c r="AD230" s="57" t="n"/>
      <c r="AE230" s="56">
        <f>IF(F230=$Z$2,"",VLOOKUP(F230,'DATASHEET EQUIPAMENTOS'!D:O,12,FALSE))</f>
        <v/>
      </c>
      <c r="AF230" s="57" t="n"/>
      <c r="AG230" s="127">
        <f>IF(SUM(AA230,AC230,AE230)&lt;=SUM(AB230,AD230,AF230),"CONFORME ✓",IF(SUM(AA230,AC230,AE230)&gt;SUM(AB230,AD230,AF230),"NÃO CONFORME ✗"))</f>
        <v/>
      </c>
      <c r="AH230" s="128" t="n"/>
      <c r="AI230" s="129" t="n"/>
      <c r="AJ230" s="130" t="n"/>
      <c r="AK230" s="131" t="n"/>
      <c r="AL230" s="58">
        <f>IFERROR(CALCULOS!H225,"NECESSÁRIO REVISAR DATASHEET")</f>
        <v/>
      </c>
      <c r="AM23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0" s="64">
        <f>SUM(Tabela2[[#This Row],[Nota de Prioridade Quantitativa(NOTAS: 1 PIOR NOTA; 5 MELHOR NOTA)]],Tabela2[[#This Row],[Nota de Prioridade Qualitativa(NOTAS: 1 PIOR NOTA;  5 MELHOR NOTA)]])</f>
        <v/>
      </c>
      <c r="AO230" s="7" t="n">
        <v>151378</v>
      </c>
      <c r="AP230" s="64">
        <f>SUM(Tabela2[[#This Row],[Nota de Prioridade Quantitativa(NOTAS: 1 PIOR NOTA; 5 MELHOR NOTA)]],Tabela2[[#This Row],[Nota de Prioridade Qualitativa(NOTAS: 1 PIOR NOTA;  5 MELHOR NOTA)]])</f>
        <v/>
      </c>
      <c r="AQ230" s="64" t="n"/>
      <c r="AR230" s="64">
        <f>SUM(Tabela2[[#This Row],[Nota de Prioridade Quantitativa(NOTAS: 1 PIOR NOTA; 5 MELHOR NOTA)]],Tabela2[[#This Row],[Nota de Prioridade Qualitativa(NOTAS: 1 PIOR NOTA;  5 MELHOR NOTA)]])</f>
        <v/>
      </c>
      <c r="AS230" s="7" t="n"/>
      <c r="BB230" t="n">
        <v>0</v>
      </c>
      <c r="BC230" t="n">
        <v>0</v>
      </c>
      <c r="BD230" t="n">
        <v>0</v>
      </c>
      <c r="BE230" t="n">
        <v>0</v>
      </c>
      <c r="BF230" t="inlineStr">
        <is>
          <t>CONFORME</t>
        </is>
      </c>
    </row>
    <row r="231" hidden="1" ht="21.75" customHeight="1" thickBot="1">
      <c r="A231" s="77" t="inlineStr">
        <is>
          <t>VGR</t>
        </is>
      </c>
      <c r="B231" t="inlineStr">
        <is>
          <t>Aboboras</t>
        </is>
      </c>
      <c r="C231" s="80" t="inlineStr">
        <is>
          <t>PF1110</t>
        </is>
      </c>
      <c r="D231" t="inlineStr">
        <is>
          <t>KIDDE</t>
        </is>
      </c>
      <c r="E231" t="inlineStr">
        <is>
          <t>CATERPILLAR</t>
        </is>
      </c>
      <c r="F231" t="inlineStr">
        <is>
          <t>CAT MD6290</t>
        </is>
      </c>
      <c r="G231" s="81">
        <f>IFERROR(IF(F231=$AB$2,"",VLOOKUP(F231,'DATASHEET EQUIPAMENTOS'!D:N,2,FALSE)),"")</f>
        <v/>
      </c>
      <c r="H231" s="82" t="n"/>
      <c r="I231" s="57">
        <f>_xlfn.XLOOKUP(Tabela2[[#This Row],[Modelo]],'DATASHEET EQUIPAMENTOS'!D:D,'DATASHEET EQUIPAMENTOS'!P:P,"",0,1)</f>
        <v/>
      </c>
      <c r="J231" s="81">
        <f>IF(F231=$Z$2,"",VLOOKUP(F231,'DATASHEET EQUIPAMENTOS'!D:N,3,FALSE))</f>
        <v/>
      </c>
      <c r="K231" s="85" t="n"/>
      <c r="L231" s="95">
        <f>IF(AZ231="CONFORME","CONFORME ✓","NÃO CONFORME ✗")</f>
        <v/>
      </c>
      <c r="M231" s="124">
        <f>IF(F231=$Z$2,"",VLOOKUP(F231,'DATASHEET EQUIPAMENTOS'!D:N,4,FALSE))</f>
        <v/>
      </c>
      <c r="N231" s="57" t="n"/>
      <c r="O231" s="125">
        <f>IF(F231=$Z$2,"",VLOOKUP(F231,'DATASHEET EQUIPAMENTOS'!D:N,5,FALSE))</f>
        <v/>
      </c>
      <c r="P231" s="57" t="n"/>
      <c r="Q231" s="56">
        <f>IF(F231=$Z$2,"",VLOOKUP(F231,'DATASHEET EQUIPAMENTOS'!D:N,6,FALSE))</f>
        <v/>
      </c>
      <c r="R231" s="57" t="n"/>
      <c r="S231" s="126">
        <f>IF(Tabela2[[#This Row],[Instalado Sensor Motor]]="Linear","CONFORME ✓",IF(SUM(M231,O231,Q231)&lt;SUM(N231,P231,R231),"CONFORME ✓",IF(SUM(M231,O231,Q231)=SUM(N231,P231,R231),"CONFORME ✓","NÃO CONFORME ✗")))</f>
        <v/>
      </c>
      <c r="T231" s="56">
        <f>IF(F231=$Z$2,"",VLOOKUP(F231,'DATASHEET EQUIPAMENTOS'!D:N,7,FALSE))</f>
        <v/>
      </c>
      <c r="U231" s="57" t="n"/>
      <c r="V231" s="56">
        <f>IF(F231=$Z$2,"",VLOOKUP(F231,'DATASHEET EQUIPAMENTOS'!D:N,8,FALSE))</f>
        <v/>
      </c>
      <c r="W231" s="57" t="n"/>
      <c r="X231" s="56">
        <f>IF(F231=$Z$2,"",VLOOKUP(F231,'DATASHEET EQUIPAMENTOS'!D:N,9,FALSE))</f>
        <v/>
      </c>
      <c r="Y231" s="57" t="n"/>
      <c r="Z231" s="57">
        <f>IF(SUM(T231,V231,X231)&lt;=SUM(U231,W231,Y231),"CONFORME ✓",IF(SUM(T231,V231,X231)&gt;SUM(U231,W231,Y231),"NÃO CONFORME ✗"))</f>
        <v/>
      </c>
      <c r="AA231" s="56">
        <f>IF(F231=$Z$2,"",VLOOKUP(F231,'DATASHEET EQUIPAMENTOS'!D:N,10,FALSE))</f>
        <v/>
      </c>
      <c r="AB231" s="57" t="n"/>
      <c r="AC231" s="56">
        <f>IF(F231=$Z$2,"",VLOOKUP(F231,'DATASHEET EQUIPAMENTOS'!D:N,11,FALSE))</f>
        <v/>
      </c>
      <c r="AD231" s="57" t="n"/>
      <c r="AE231" s="56">
        <f>IF(F231=$Z$2,"",VLOOKUP(F231,'DATASHEET EQUIPAMENTOS'!D:O,12,FALSE))</f>
        <v/>
      </c>
      <c r="AF231" s="57" t="n"/>
      <c r="AG231" s="127">
        <f>IF(SUM(AA231,AC231,AE231)&lt;=SUM(AB231,AD231,AF231),"CONFORME ✓",IF(SUM(AA231,AC231,AE231)&gt;SUM(AB231,AD231,AF231),"NÃO CONFORME ✗"))</f>
        <v/>
      </c>
      <c r="AH231" s="128" t="n"/>
      <c r="AI231" s="129" t="n"/>
      <c r="AJ231" s="130" t="n"/>
      <c r="AK231" s="131" t="n"/>
      <c r="AL231" s="58">
        <f>IFERROR(CALCULOS!H226,"NECESSÁRIO REVISAR DATASHEET")</f>
        <v/>
      </c>
      <c r="AM231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1" s="64">
        <f>SUM(Tabela2[[#This Row],[Nota de Prioridade Quantitativa(NOTAS: 1 PIOR NOTA; 5 MELHOR NOTA)]],Tabela2[[#This Row],[Nota de Prioridade Qualitativa(NOTAS: 1 PIOR NOTA;  5 MELHOR NOTA)]])</f>
        <v/>
      </c>
      <c r="AO231" s="7" t="n">
        <v>151281</v>
      </c>
      <c r="AP231" s="64">
        <f>SUM(Tabela2[[#This Row],[Nota de Prioridade Quantitativa(NOTAS: 1 PIOR NOTA; 5 MELHOR NOTA)]],Tabela2[[#This Row],[Nota de Prioridade Qualitativa(NOTAS: 1 PIOR NOTA;  5 MELHOR NOTA)]])</f>
        <v/>
      </c>
      <c r="AQ231" s="64" t="n"/>
      <c r="AR231" s="64">
        <f>SUM(Tabela2[[#This Row],[Nota de Prioridade Quantitativa(NOTAS: 1 PIOR NOTA; 5 MELHOR NOTA)]],Tabela2[[#This Row],[Nota de Prioridade Qualitativa(NOTAS: 1 PIOR NOTA;  5 MELHOR NOTA)]])</f>
        <v/>
      </c>
      <c r="AS231" s="7" t="n"/>
      <c r="BB231" t="n">
        <v>0</v>
      </c>
      <c r="BC231" t="n">
        <v>0</v>
      </c>
      <c r="BD231" t="n">
        <v>0</v>
      </c>
      <c r="BE231" t="n">
        <v>0</v>
      </c>
      <c r="BF231" t="inlineStr">
        <is>
          <t>CONFORME</t>
        </is>
      </c>
    </row>
    <row r="232" hidden="1" ht="21.75" customHeight="1" thickBot="1">
      <c r="A232" s="77" t="inlineStr">
        <is>
          <t>Paraoupeba</t>
        </is>
      </c>
      <c r="B232" t="inlineStr">
        <is>
          <t>Horizontes</t>
        </is>
      </c>
      <c r="C232" s="80" t="inlineStr">
        <is>
          <t>EM3705</t>
        </is>
      </c>
      <c r="D232" t="inlineStr">
        <is>
          <t>KIDDE</t>
        </is>
      </c>
      <c r="E232" t="inlineStr">
        <is>
          <t>CATERPILLAR</t>
        </is>
      </c>
      <c r="F232" t="inlineStr">
        <is>
          <t>CAT 365C</t>
        </is>
      </c>
      <c r="G232" s="81">
        <f>IFERROR(IF(F232=$AB$2,"",VLOOKUP(F232,'DATASHEET EQUIPAMENTOS'!D:N,2,FALSE)),"")</f>
        <v/>
      </c>
      <c r="H232" s="82" t="n"/>
      <c r="I232" s="57">
        <f>_xlfn.XLOOKUP(Tabela2[[#This Row],[Modelo]],'DATASHEET EQUIPAMENTOS'!D:D,'DATASHEET EQUIPAMENTOS'!P:P,"",0,1)</f>
        <v/>
      </c>
      <c r="J232" s="81">
        <f>IF(F232=$Z$2,"",VLOOKUP(F232,'DATASHEET EQUIPAMENTOS'!D:N,3,FALSE))</f>
        <v/>
      </c>
      <c r="K232" s="85" t="n"/>
      <c r="L232" s="95">
        <f>IF(AZ232="CONFORME","CONFORME ✓","NÃO CONFORME ✗")</f>
        <v/>
      </c>
      <c r="M232" s="124">
        <f>IF(F232=$Z$2,"",VLOOKUP(F232,'DATASHEET EQUIPAMENTOS'!D:N,4,FALSE))</f>
        <v/>
      </c>
      <c r="N232" s="57" t="n"/>
      <c r="O232" s="125">
        <f>IF(F232=$Z$2,"",VLOOKUP(F232,'DATASHEET EQUIPAMENTOS'!D:N,5,FALSE))</f>
        <v/>
      </c>
      <c r="P232" s="57" t="n"/>
      <c r="Q232" s="56">
        <f>IF(F232=$Z$2,"",VLOOKUP(F232,'DATASHEET EQUIPAMENTOS'!D:N,6,FALSE))</f>
        <v/>
      </c>
      <c r="R232" s="57" t="n"/>
      <c r="S232" s="126">
        <f>IF(Tabela2[[#This Row],[Instalado Sensor Motor]]="Linear","CONFORME ✓",IF(SUM(M232,O232,Q232)&lt;SUM(N232,P232,R232),"CONFORME ✓",IF(SUM(M232,O232,Q232)=SUM(N232,P232,R232),"CONFORME ✓","NÃO CONFORME ✗")))</f>
        <v/>
      </c>
      <c r="T232" s="56">
        <f>IF(F232=$Z$2,"",VLOOKUP(F232,'DATASHEET EQUIPAMENTOS'!D:N,7,FALSE))</f>
        <v/>
      </c>
      <c r="U232" s="57" t="n"/>
      <c r="V232" s="56">
        <f>IF(F232=$Z$2,"",VLOOKUP(F232,'DATASHEET EQUIPAMENTOS'!D:N,8,FALSE))</f>
        <v/>
      </c>
      <c r="W232" s="57" t="n"/>
      <c r="X232" s="56">
        <f>IF(F232=$Z$2,"",VLOOKUP(F232,'DATASHEET EQUIPAMENTOS'!D:N,9,FALSE))</f>
        <v/>
      </c>
      <c r="Y232" s="57" t="n"/>
      <c r="Z232" s="57">
        <f>IF(SUM(T232,V232,X232)&lt;=SUM(U232,W232,Y232),"CONFORME ✓",IF(SUM(T232,V232,X232)&gt;SUM(U232,W232,Y232),"NÃO CONFORME ✗"))</f>
        <v/>
      </c>
      <c r="AA232" s="56">
        <f>IF(F232=$Z$2,"",VLOOKUP(F232,'DATASHEET EQUIPAMENTOS'!D:N,10,FALSE))</f>
        <v/>
      </c>
      <c r="AB232" s="57" t="n"/>
      <c r="AC232" s="56">
        <f>IF(F232=$Z$2,"",VLOOKUP(F232,'DATASHEET EQUIPAMENTOS'!D:N,11,FALSE))</f>
        <v/>
      </c>
      <c r="AD232" s="57" t="n"/>
      <c r="AE232" s="56">
        <f>IF(F232=$Z$2,"",VLOOKUP(F232,'DATASHEET EQUIPAMENTOS'!D:O,12,FALSE))</f>
        <v/>
      </c>
      <c r="AF232" s="57" t="n"/>
      <c r="AG232" s="127">
        <f>IF(SUM(AA232,AC232,AE232)&lt;=SUM(AB232,AD232,AF232),"CONFORME ✓",IF(SUM(AA232,AC232,AE232)&gt;SUM(AB232,AD232,AF232),"NÃO CONFORME ✗"))</f>
        <v/>
      </c>
      <c r="AH232" s="128" t="n"/>
      <c r="AI232" s="129" t="n"/>
      <c r="AJ232" s="130" t="n"/>
      <c r="AK232" s="131" t="n"/>
      <c r="AL232" s="58">
        <f>IFERROR(CALCULOS!H227,"NECESSÁRIO REVISAR DATASHEET")</f>
        <v/>
      </c>
      <c r="AM232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2" s="64">
        <f>SUM(Tabela2[[#This Row],[Nota de Prioridade Quantitativa(NOTAS: 1 PIOR NOTA; 5 MELHOR NOTA)]],Tabela2[[#This Row],[Nota de Prioridade Qualitativa(NOTAS: 1 PIOR NOTA;  5 MELHOR NOTA)]])</f>
        <v/>
      </c>
      <c r="AO232" s="7" t="n">
        <v>151137</v>
      </c>
      <c r="AP232" s="64">
        <f>SUM(Tabela2[[#This Row],[Nota de Prioridade Quantitativa(NOTAS: 1 PIOR NOTA; 5 MELHOR NOTA)]],Tabela2[[#This Row],[Nota de Prioridade Qualitativa(NOTAS: 1 PIOR NOTA;  5 MELHOR NOTA)]])</f>
        <v/>
      </c>
      <c r="AQ232" s="64" t="n"/>
      <c r="AR232" s="64">
        <f>SUM(Tabela2[[#This Row],[Nota de Prioridade Quantitativa(NOTAS: 1 PIOR NOTA; 5 MELHOR NOTA)]],Tabela2[[#This Row],[Nota de Prioridade Qualitativa(NOTAS: 1 PIOR NOTA;  5 MELHOR NOTA)]])</f>
        <v/>
      </c>
      <c r="AS232" s="7" t="n"/>
      <c r="BB232" t="n">
        <v>0</v>
      </c>
      <c r="BC232" t="n">
        <v>0</v>
      </c>
      <c r="BD232" t="n">
        <v>0</v>
      </c>
      <c r="BE232" t="n">
        <v>0</v>
      </c>
      <c r="BF232" t="inlineStr">
        <is>
          <t>CONFORME</t>
        </is>
      </c>
    </row>
    <row r="233" hidden="1" ht="21.75" customHeight="1" thickBot="1">
      <c r="A233" s="77" t="inlineStr">
        <is>
          <t>VGR</t>
        </is>
      </c>
      <c r="B233" t="inlineStr">
        <is>
          <t>Aboboras</t>
        </is>
      </c>
      <c r="C233" s="80" t="inlineStr">
        <is>
          <t>CA5481</t>
        </is>
      </c>
      <c r="D233" t="inlineStr">
        <is>
          <t>AFEX</t>
        </is>
      </c>
      <c r="E233" t="inlineStr">
        <is>
          <t>CATERPILLAR</t>
        </is>
      </c>
      <c r="F233" t="inlineStr">
        <is>
          <t>CAT 789D</t>
        </is>
      </c>
      <c r="G233" s="81">
        <f>IFERROR(IF(F233=$AB$2,"",VLOOKUP(F233,'DATASHEET EQUIPAMENTOS'!D:N,2,FALSE)),"")</f>
        <v/>
      </c>
      <c r="H233" s="82" t="n"/>
      <c r="I233" s="57">
        <f>_xlfn.XLOOKUP(Tabela2[[#This Row],[Modelo]],'DATASHEET EQUIPAMENTOS'!D:D,'DATASHEET EQUIPAMENTOS'!P:P,"",0,1)</f>
        <v/>
      </c>
      <c r="J233" s="81">
        <f>IF(F233=$Z$2,"",VLOOKUP(F233,'DATASHEET EQUIPAMENTOS'!D:N,3,FALSE))</f>
        <v/>
      </c>
      <c r="K233" s="85" t="n"/>
      <c r="L233" s="95">
        <f>IF(AZ233="CONFORME","CONFORME ✓","NÃO CONFORME ✗")</f>
        <v/>
      </c>
      <c r="M233" s="124">
        <f>IF(F233=$Z$2,"",VLOOKUP(F233,'DATASHEET EQUIPAMENTOS'!D:N,4,FALSE))</f>
        <v/>
      </c>
      <c r="N233" s="57" t="n"/>
      <c r="O233" s="125">
        <f>IF(F233=$Z$2,"",VLOOKUP(F233,'DATASHEET EQUIPAMENTOS'!D:N,5,FALSE))</f>
        <v/>
      </c>
      <c r="P233" s="57" t="n"/>
      <c r="Q233" s="56">
        <f>IF(F233=$Z$2,"",VLOOKUP(F233,'DATASHEET EQUIPAMENTOS'!D:N,6,FALSE))</f>
        <v/>
      </c>
      <c r="R233" s="57" t="n"/>
      <c r="S233" s="126">
        <f>IF(Tabela2[[#This Row],[Instalado Sensor Motor]]="Linear","CONFORME ✓",IF(SUM(M233,O233,Q233)&lt;SUM(N233,P233,R233),"CONFORME ✓",IF(SUM(M233,O233,Q233)=SUM(N233,P233,R233),"CONFORME ✓","NÃO CONFORME ✗")))</f>
        <v/>
      </c>
      <c r="T233" s="56">
        <f>IF(F233=$Z$2,"",VLOOKUP(F233,'DATASHEET EQUIPAMENTOS'!D:N,7,FALSE))</f>
        <v/>
      </c>
      <c r="U233" s="57" t="n"/>
      <c r="V233" s="56">
        <f>IF(F233=$Z$2,"",VLOOKUP(F233,'DATASHEET EQUIPAMENTOS'!D:N,8,FALSE))</f>
        <v/>
      </c>
      <c r="W233" s="57" t="n"/>
      <c r="X233" s="56">
        <f>IF(F233=$Z$2,"",VLOOKUP(F233,'DATASHEET EQUIPAMENTOS'!D:N,9,FALSE))</f>
        <v/>
      </c>
      <c r="Y233" s="57" t="n"/>
      <c r="Z233" s="57">
        <f>IF(SUM(T233,V233,X233)&lt;=SUM(U233,W233,Y233),"CONFORME ✓",IF(SUM(T233,V233,X233)&gt;SUM(U233,W233,Y233),"NÃO CONFORME ✗"))</f>
        <v/>
      </c>
      <c r="AA233" s="56">
        <f>IF(F233=$Z$2,"",VLOOKUP(F233,'DATASHEET EQUIPAMENTOS'!D:N,10,FALSE))</f>
        <v/>
      </c>
      <c r="AB233" s="57" t="n"/>
      <c r="AC233" s="56">
        <f>IF(F233=$Z$2,"",VLOOKUP(F233,'DATASHEET EQUIPAMENTOS'!D:N,11,FALSE))</f>
        <v/>
      </c>
      <c r="AD233" s="57" t="n"/>
      <c r="AE233" s="56">
        <f>IF(F233=$Z$2,"",VLOOKUP(F233,'DATASHEET EQUIPAMENTOS'!D:O,12,FALSE))</f>
        <v/>
      </c>
      <c r="AF233" s="57" t="n"/>
      <c r="AG233" s="127">
        <f>IF(SUM(AA233,AC233,AE233)&lt;=SUM(AB233,AD233,AF233),"CONFORME ✓",IF(SUM(AA233,AC233,AE233)&gt;SUM(AB233,AD233,AF233),"NÃO CONFORME ✗"))</f>
        <v/>
      </c>
      <c r="AH233" s="128" t="n"/>
      <c r="AI233" s="129" t="n"/>
      <c r="AJ233" s="130" t="n"/>
      <c r="AK233" s="131" t="n"/>
      <c r="AL233" s="58">
        <f>IFERROR(CALCULOS!H228,"NECESSÁRIO REVISAR DATASHEET")</f>
        <v/>
      </c>
      <c r="AM233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3" s="64">
        <f>SUM(Tabela2[[#This Row],[Nota de Prioridade Quantitativa(NOTAS: 1 PIOR NOTA; 5 MELHOR NOTA)]],Tabela2[[#This Row],[Nota de Prioridade Qualitativa(NOTAS: 1 PIOR NOTA;  5 MELHOR NOTA)]])</f>
        <v/>
      </c>
      <c r="AO233" s="7" t="n">
        <v>151079</v>
      </c>
      <c r="AP233" s="64">
        <f>SUM(Tabela2[[#This Row],[Nota de Prioridade Quantitativa(NOTAS: 1 PIOR NOTA; 5 MELHOR NOTA)]],Tabela2[[#This Row],[Nota de Prioridade Qualitativa(NOTAS: 1 PIOR NOTA;  5 MELHOR NOTA)]])</f>
        <v/>
      </c>
      <c r="AQ233" s="64" t="n"/>
      <c r="AR233" s="64">
        <f>SUM(Tabela2[[#This Row],[Nota de Prioridade Quantitativa(NOTAS: 1 PIOR NOTA; 5 MELHOR NOTA)]],Tabela2[[#This Row],[Nota de Prioridade Qualitativa(NOTAS: 1 PIOR NOTA;  5 MELHOR NOTA)]])</f>
        <v/>
      </c>
      <c r="AS233" s="7" t="n"/>
      <c r="BB233" t="n">
        <v>0</v>
      </c>
      <c r="BC233" t="n">
        <v>0</v>
      </c>
      <c r="BD233" t="n">
        <v>0</v>
      </c>
      <c r="BE233" t="n">
        <v>0</v>
      </c>
      <c r="BF233" t="inlineStr">
        <is>
          <t>CONFORME</t>
        </is>
      </c>
    </row>
    <row r="234" hidden="1" ht="21.75" customHeight="1" thickBot="1">
      <c r="A234" s="77" t="inlineStr">
        <is>
          <t>Paraoupeba</t>
        </is>
      </c>
      <c r="B234" t="inlineStr">
        <is>
          <t>Horizontes</t>
        </is>
      </c>
      <c r="C234" s="80" t="inlineStr">
        <is>
          <t>CA5328</t>
        </is>
      </c>
      <c r="D234" t="inlineStr">
        <is>
          <t>AFEX</t>
        </is>
      </c>
      <c r="E234" t="inlineStr">
        <is>
          <t>CATERPILLAR</t>
        </is>
      </c>
      <c r="F234" t="inlineStr">
        <is>
          <t>CAT 785C</t>
        </is>
      </c>
      <c r="G234" s="81">
        <f>IFERROR(IF(F234=$AB$2,"",VLOOKUP(F234,'DATASHEET EQUIPAMENTOS'!D:N,2,FALSE)),"")</f>
        <v/>
      </c>
      <c r="H234" s="82" t="n"/>
      <c r="I234" s="57">
        <f>_xlfn.XLOOKUP(Tabela2[[#This Row],[Modelo]],'DATASHEET EQUIPAMENTOS'!D:D,'DATASHEET EQUIPAMENTOS'!P:P,"",0,1)</f>
        <v/>
      </c>
      <c r="J234" s="81">
        <f>IF(F234=$Z$2,"",VLOOKUP(F234,'DATASHEET EQUIPAMENTOS'!D:N,3,FALSE))</f>
        <v/>
      </c>
      <c r="K234" s="85" t="n"/>
      <c r="L234" s="95">
        <f>IF(AZ234="CONFORME","CONFORME ✓","NÃO CONFORME ✗")</f>
        <v/>
      </c>
      <c r="M234" s="124">
        <f>IF(F234=$Z$2,"",VLOOKUP(F234,'DATASHEET EQUIPAMENTOS'!D:N,4,FALSE))</f>
        <v/>
      </c>
      <c r="N234" s="57" t="n"/>
      <c r="O234" s="125">
        <f>IF(F234=$Z$2,"",VLOOKUP(F234,'DATASHEET EQUIPAMENTOS'!D:N,5,FALSE))</f>
        <v/>
      </c>
      <c r="P234" s="57" t="n"/>
      <c r="Q234" s="56">
        <f>IF(F234=$Z$2,"",VLOOKUP(F234,'DATASHEET EQUIPAMENTOS'!D:N,6,FALSE))</f>
        <v/>
      </c>
      <c r="R234" s="57" t="n"/>
      <c r="S234" s="126">
        <f>IF(Tabela2[[#This Row],[Instalado Sensor Motor]]="Linear","CONFORME ✓",IF(SUM(M234,O234,Q234)&lt;SUM(N234,P234,R234),"CONFORME ✓",IF(SUM(M234,O234,Q234)=SUM(N234,P234,R234),"CONFORME ✓","NÃO CONFORME ✗")))</f>
        <v/>
      </c>
      <c r="T234" s="56">
        <f>IF(F234=$Z$2,"",VLOOKUP(F234,'DATASHEET EQUIPAMENTOS'!D:N,7,FALSE))</f>
        <v/>
      </c>
      <c r="U234" s="57" t="n"/>
      <c r="V234" s="56">
        <f>IF(F234=$Z$2,"",VLOOKUP(F234,'DATASHEET EQUIPAMENTOS'!D:N,8,FALSE))</f>
        <v/>
      </c>
      <c r="W234" s="57" t="n"/>
      <c r="X234" s="56">
        <f>IF(F234=$Z$2,"",VLOOKUP(F234,'DATASHEET EQUIPAMENTOS'!D:N,9,FALSE))</f>
        <v/>
      </c>
      <c r="Y234" s="57" t="n"/>
      <c r="Z234" s="57">
        <f>IF(SUM(T234,V234,X234)&lt;=SUM(U234,W234,Y234),"CONFORME ✓",IF(SUM(T234,V234,X234)&gt;SUM(U234,W234,Y234),"NÃO CONFORME ✗"))</f>
        <v/>
      </c>
      <c r="AA234" s="56">
        <f>IF(F234=$Z$2,"",VLOOKUP(F234,'DATASHEET EQUIPAMENTOS'!D:N,10,FALSE))</f>
        <v/>
      </c>
      <c r="AB234" s="57" t="n"/>
      <c r="AC234" s="56">
        <f>IF(F234=$Z$2,"",VLOOKUP(F234,'DATASHEET EQUIPAMENTOS'!D:N,11,FALSE))</f>
        <v/>
      </c>
      <c r="AD234" s="57" t="n"/>
      <c r="AE234" s="56">
        <f>IF(F234=$Z$2,"",VLOOKUP(F234,'DATASHEET EQUIPAMENTOS'!D:O,12,FALSE))</f>
        <v/>
      </c>
      <c r="AF234" s="57" t="n"/>
      <c r="AG234" s="127">
        <f>IF(SUM(AA234,AC234,AE234)&lt;=SUM(AB234,AD234,AF234),"CONFORME ✓",IF(SUM(AA234,AC234,AE234)&gt;SUM(AB234,AD234,AF234),"NÃO CONFORME ✗"))</f>
        <v/>
      </c>
      <c r="AH234" s="128" t="n"/>
      <c r="AI234" s="129" t="n"/>
      <c r="AJ234" s="130" t="n"/>
      <c r="AK234" s="131" t="n"/>
      <c r="AL234" s="58">
        <f>IFERROR(CALCULOS!H229,"NECESSÁRIO REVISAR DATASHEET")</f>
        <v/>
      </c>
      <c r="AM234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4" s="64">
        <f>SUM(Tabela2[[#This Row],[Nota de Prioridade Quantitativa(NOTAS: 1 PIOR NOTA; 5 MELHOR NOTA)]],Tabela2[[#This Row],[Nota de Prioridade Qualitativa(NOTAS: 1 PIOR NOTA;  5 MELHOR NOTA)]])</f>
        <v/>
      </c>
      <c r="AO234" s="7" t="n">
        <v>150882</v>
      </c>
      <c r="AP234" s="64">
        <f>SUM(Tabela2[[#This Row],[Nota de Prioridade Quantitativa(NOTAS: 1 PIOR NOTA; 5 MELHOR NOTA)]],Tabela2[[#This Row],[Nota de Prioridade Qualitativa(NOTAS: 1 PIOR NOTA;  5 MELHOR NOTA)]])</f>
        <v/>
      </c>
      <c r="AQ234" s="64" t="n"/>
      <c r="AR234" s="64">
        <f>SUM(Tabela2[[#This Row],[Nota de Prioridade Quantitativa(NOTAS: 1 PIOR NOTA; 5 MELHOR NOTA)]],Tabela2[[#This Row],[Nota de Prioridade Qualitativa(NOTAS: 1 PIOR NOTA;  5 MELHOR NOTA)]])</f>
        <v/>
      </c>
      <c r="AS234" s="7" t="n"/>
      <c r="BB234" t="n">
        <v>0</v>
      </c>
      <c r="BC234" t="n">
        <v>0</v>
      </c>
      <c r="BD234" t="n">
        <v>0</v>
      </c>
      <c r="BE234" t="n">
        <v>0</v>
      </c>
      <c r="BF234" t="inlineStr">
        <is>
          <t>CONFORME</t>
        </is>
      </c>
    </row>
    <row r="235" hidden="1" ht="21.75" customHeight="1" thickBot="1">
      <c r="A235" s="77" t="inlineStr">
        <is>
          <t>VGR</t>
        </is>
      </c>
      <c r="B235" t="inlineStr">
        <is>
          <t>Aboboras</t>
        </is>
      </c>
      <c r="C235" s="80" t="inlineStr">
        <is>
          <t>EM3012</t>
        </is>
      </c>
      <c r="D235" t="inlineStr">
        <is>
          <t>AFEX</t>
        </is>
      </c>
      <c r="E235" s="78" t="inlineStr">
        <is>
          <t>KOMATSU</t>
        </is>
      </c>
      <c r="F235" t="inlineStr">
        <is>
          <t>KOMATSU PC2000</t>
        </is>
      </c>
      <c r="G235" s="81">
        <f>IFERROR(IF(F235=$AB$2,"",VLOOKUP(F235,'DATASHEET EQUIPAMENTOS'!D:N,2,FALSE)),"")</f>
        <v/>
      </c>
      <c r="H235" s="82" t="n"/>
      <c r="I235" s="57">
        <f>_xlfn.XLOOKUP(Tabela2[[#This Row],[Modelo]],'DATASHEET EQUIPAMENTOS'!D:D,'DATASHEET EQUIPAMENTOS'!P:P,"",0,1)</f>
        <v/>
      </c>
      <c r="J235" s="81">
        <f>IF(F235=$Z$2,"",VLOOKUP(F235,'DATASHEET EQUIPAMENTOS'!D:N,3,FALSE))</f>
        <v/>
      </c>
      <c r="K235" s="85" t="n"/>
      <c r="L235" s="95">
        <f>IF(AZ235="CONFORME","CONFORME ✓","NÃO CONFORME ✗")</f>
        <v/>
      </c>
      <c r="M235" s="124">
        <f>IF(F235=$Z$2,"",VLOOKUP(F235,'DATASHEET EQUIPAMENTOS'!D:N,4,FALSE))</f>
        <v/>
      </c>
      <c r="N235" s="57" t="n"/>
      <c r="O235" s="125">
        <f>IF(F235=$Z$2,"",VLOOKUP(F235,'DATASHEET EQUIPAMENTOS'!D:N,5,FALSE))</f>
        <v/>
      </c>
      <c r="P235" s="57" t="n"/>
      <c r="Q235" s="56">
        <f>IF(F235=$Z$2,"",VLOOKUP(F235,'DATASHEET EQUIPAMENTOS'!D:N,6,FALSE))</f>
        <v/>
      </c>
      <c r="R235" s="57" t="n"/>
      <c r="S235" s="126">
        <f>IF(Tabela2[[#This Row],[Instalado Sensor Motor]]="Linear","CONFORME ✓",IF(SUM(M235,O235,Q235)&lt;SUM(N235,P235,R235),"CONFORME ✓",IF(SUM(M235,O235,Q235)=SUM(N235,P235,R235),"CONFORME ✓","NÃO CONFORME ✗")))</f>
        <v/>
      </c>
      <c r="T235" s="56">
        <f>IF(F235=$Z$2,"",VLOOKUP(F235,'DATASHEET EQUIPAMENTOS'!D:N,7,FALSE))</f>
        <v/>
      </c>
      <c r="U235" s="57" t="n"/>
      <c r="V235" s="56">
        <f>IF(F235=$Z$2,"",VLOOKUP(F235,'DATASHEET EQUIPAMENTOS'!D:N,8,FALSE))</f>
        <v/>
      </c>
      <c r="W235" s="57" t="n"/>
      <c r="X235" s="56">
        <f>IF(F235=$Z$2,"",VLOOKUP(F235,'DATASHEET EQUIPAMENTOS'!D:N,9,FALSE))</f>
        <v/>
      </c>
      <c r="Y235" s="57" t="n"/>
      <c r="Z235" s="57">
        <f>IF(SUM(T235,V235,X235)&lt;=SUM(U235,W235,Y235),"CONFORME ✓",IF(SUM(T235,V235,X235)&gt;SUM(U235,W235,Y235),"NÃO CONFORME ✗"))</f>
        <v/>
      </c>
      <c r="AA235" s="56">
        <f>IF(F235=$Z$2,"",VLOOKUP(F235,'DATASHEET EQUIPAMENTOS'!D:N,10,FALSE))</f>
        <v/>
      </c>
      <c r="AB235" s="57" t="n"/>
      <c r="AC235" s="56">
        <f>IF(F235=$Z$2,"",VLOOKUP(F235,'DATASHEET EQUIPAMENTOS'!D:N,11,FALSE))</f>
        <v/>
      </c>
      <c r="AD235" s="57" t="n"/>
      <c r="AE235" s="56">
        <f>IF(F235=$Z$2,"",VLOOKUP(F235,'DATASHEET EQUIPAMENTOS'!D:O,12,FALSE))</f>
        <v/>
      </c>
      <c r="AF235" s="57" t="n"/>
      <c r="AG235" s="127">
        <f>IF(SUM(AA235,AC235,AE235)&lt;=SUM(AB235,AD235,AF235),"CONFORME ✓",IF(SUM(AA235,AC235,AE235)&gt;SUM(AB235,AD235,AF235),"NÃO CONFORME ✗"))</f>
        <v/>
      </c>
      <c r="AH235" s="128" t="n"/>
      <c r="AI235" s="129" t="n"/>
      <c r="AJ235" s="130" t="n"/>
      <c r="AK235" s="131" t="n"/>
      <c r="AL235" s="58">
        <f>IFERROR(CALCULOS!H230,"NECESSÁRIO REVISAR DATASHEET")</f>
        <v/>
      </c>
      <c r="AM235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5" s="64">
        <f>SUM(Tabela2[[#This Row],[Nota de Prioridade Quantitativa(NOTAS: 1 PIOR NOTA; 5 MELHOR NOTA)]],Tabela2[[#This Row],[Nota de Prioridade Qualitativa(NOTAS: 1 PIOR NOTA;  5 MELHOR NOTA)]])</f>
        <v/>
      </c>
      <c r="AO235" s="7" t="n">
        <v>150839</v>
      </c>
      <c r="AP235" s="64">
        <f>SUM(Tabela2[[#This Row],[Nota de Prioridade Quantitativa(NOTAS: 1 PIOR NOTA; 5 MELHOR NOTA)]],Tabela2[[#This Row],[Nota de Prioridade Qualitativa(NOTAS: 1 PIOR NOTA;  5 MELHOR NOTA)]])</f>
        <v/>
      </c>
      <c r="AQ235" s="64" t="n"/>
      <c r="AR235" s="64">
        <f>SUM(Tabela2[[#This Row],[Nota de Prioridade Quantitativa(NOTAS: 1 PIOR NOTA; 5 MELHOR NOTA)]],Tabela2[[#This Row],[Nota de Prioridade Qualitativa(NOTAS: 1 PIOR NOTA;  5 MELHOR NOTA)]])</f>
        <v/>
      </c>
      <c r="AS235" s="7" t="n"/>
      <c r="BB235" t="n">
        <v>0</v>
      </c>
      <c r="BC235" t="n">
        <v>0</v>
      </c>
      <c r="BD235" t="n">
        <v>0</v>
      </c>
      <c r="BE235" t="n">
        <v>0</v>
      </c>
      <c r="BF235" t="inlineStr">
        <is>
          <t>CONFORME</t>
        </is>
      </c>
    </row>
    <row r="236" hidden="1" ht="21.75" customHeight="1" thickBot="1">
      <c r="A236" s="77" t="inlineStr">
        <is>
          <t>VGR</t>
        </is>
      </c>
      <c r="B236" t="inlineStr">
        <is>
          <t>Aboboras</t>
        </is>
      </c>
      <c r="C236" s="80" t="inlineStr">
        <is>
          <t>CA5473</t>
        </is>
      </c>
      <c r="D236" t="inlineStr">
        <is>
          <t>AFEX</t>
        </is>
      </c>
      <c r="E236" t="inlineStr">
        <is>
          <t>CATERPILLAR</t>
        </is>
      </c>
      <c r="F236" t="inlineStr">
        <is>
          <t>CAT 789</t>
        </is>
      </c>
      <c r="G236" s="81">
        <f>IFERROR(IF(F236=$AB$2,"",VLOOKUP(F236,'DATASHEET EQUIPAMENTOS'!D:N,2,FALSE)),"")</f>
        <v/>
      </c>
      <c r="H236" s="82" t="n"/>
      <c r="I236" s="57">
        <f>_xlfn.XLOOKUP(Tabela2[[#This Row],[Modelo]],'DATASHEET EQUIPAMENTOS'!D:D,'DATASHEET EQUIPAMENTOS'!P:P,"",0,1)</f>
        <v/>
      </c>
      <c r="J236" s="81">
        <f>IF(F236=$Z$2,"",VLOOKUP(F236,'DATASHEET EQUIPAMENTOS'!D:N,3,FALSE))</f>
        <v/>
      </c>
      <c r="K236" s="85" t="n"/>
      <c r="L236" s="95">
        <f>IF(AZ236="CONFORME","CONFORME ✓","NÃO CONFORME ✗")</f>
        <v/>
      </c>
      <c r="M236" s="124">
        <f>IF(F236=$Z$2,"",VLOOKUP(F236,'DATASHEET EQUIPAMENTOS'!D:N,4,FALSE))</f>
        <v/>
      </c>
      <c r="N236" s="57" t="n"/>
      <c r="O236" s="125">
        <f>IF(F236=$Z$2,"",VLOOKUP(F236,'DATASHEET EQUIPAMENTOS'!D:N,5,FALSE))</f>
        <v/>
      </c>
      <c r="P236" s="57" t="n"/>
      <c r="Q236" s="56">
        <f>IF(F236=$Z$2,"",VLOOKUP(F236,'DATASHEET EQUIPAMENTOS'!D:N,6,FALSE))</f>
        <v/>
      </c>
      <c r="R236" s="57" t="n"/>
      <c r="S236" s="126">
        <f>IF(Tabela2[[#This Row],[Instalado Sensor Motor]]="Linear","CONFORME ✓",IF(SUM(M236,O236,Q236)&lt;SUM(N236,P236,R236),"CONFORME ✓",IF(SUM(M236,O236,Q236)=SUM(N236,P236,R236),"CONFORME ✓","NÃO CONFORME ✗")))</f>
        <v/>
      </c>
      <c r="T236" s="56">
        <f>IF(F236=$Z$2,"",VLOOKUP(F236,'DATASHEET EQUIPAMENTOS'!D:N,7,FALSE))</f>
        <v/>
      </c>
      <c r="U236" s="57" t="n"/>
      <c r="V236" s="56">
        <f>IF(F236=$Z$2,"",VLOOKUP(F236,'DATASHEET EQUIPAMENTOS'!D:N,8,FALSE))</f>
        <v/>
      </c>
      <c r="W236" s="57" t="n"/>
      <c r="X236" s="56">
        <f>IF(F236=$Z$2,"",VLOOKUP(F236,'DATASHEET EQUIPAMENTOS'!D:N,9,FALSE))</f>
        <v/>
      </c>
      <c r="Y236" s="57" t="n"/>
      <c r="Z236" s="57">
        <f>IF(SUM(T236,V236,X236)&lt;=SUM(U236,W236,Y236),"CONFORME ✓",IF(SUM(T236,V236,X236)&gt;SUM(U236,W236,Y236),"NÃO CONFORME ✗"))</f>
        <v/>
      </c>
      <c r="AA236" s="56">
        <f>IF(F236=$Z$2,"",VLOOKUP(F236,'DATASHEET EQUIPAMENTOS'!D:N,10,FALSE))</f>
        <v/>
      </c>
      <c r="AB236" s="57" t="n"/>
      <c r="AC236" s="56">
        <f>IF(F236=$Z$2,"",VLOOKUP(F236,'DATASHEET EQUIPAMENTOS'!D:N,11,FALSE))</f>
        <v/>
      </c>
      <c r="AD236" s="57" t="n"/>
      <c r="AE236" s="56">
        <f>IF(F236=$Z$2,"",VLOOKUP(F236,'DATASHEET EQUIPAMENTOS'!D:O,12,FALSE))</f>
        <v/>
      </c>
      <c r="AF236" s="57" t="n"/>
      <c r="AG236" s="127">
        <f>IF(SUM(AA236,AC236,AE236)&lt;=SUM(AB236,AD236,AF236),"CONFORME ✓",IF(SUM(AA236,AC236,AE236)&gt;SUM(AB236,AD236,AF236),"NÃO CONFORME ✗"))</f>
        <v/>
      </c>
      <c r="AH236" s="128" t="n"/>
      <c r="AI236" s="129" t="n"/>
      <c r="AJ236" s="130" t="n"/>
      <c r="AK236" s="131" t="n"/>
      <c r="AL236" s="58">
        <f>IFERROR(CALCULOS!H231,"NECESSÁRIO REVISAR DATASHEET")</f>
        <v/>
      </c>
      <c r="AM236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6" s="64">
        <f>SUM(Tabela2[[#This Row],[Nota de Prioridade Quantitativa(NOTAS: 1 PIOR NOTA; 5 MELHOR NOTA)]],Tabela2[[#This Row],[Nota de Prioridade Qualitativa(NOTAS: 1 PIOR NOTA;  5 MELHOR NOTA)]])</f>
        <v/>
      </c>
      <c r="AO236" s="7" t="n">
        <v>150257</v>
      </c>
      <c r="AP236" s="64">
        <f>SUM(Tabela2[[#This Row],[Nota de Prioridade Quantitativa(NOTAS: 1 PIOR NOTA; 5 MELHOR NOTA)]],Tabela2[[#This Row],[Nota de Prioridade Qualitativa(NOTAS: 1 PIOR NOTA;  5 MELHOR NOTA)]])</f>
        <v/>
      </c>
      <c r="AQ236" s="64" t="n"/>
      <c r="AR236" s="64">
        <f>SUM(Tabela2[[#This Row],[Nota de Prioridade Quantitativa(NOTAS: 1 PIOR NOTA; 5 MELHOR NOTA)]],Tabela2[[#This Row],[Nota de Prioridade Qualitativa(NOTAS: 1 PIOR NOTA;  5 MELHOR NOTA)]])</f>
        <v/>
      </c>
      <c r="AS236" s="7" t="n"/>
      <c r="BB236" t="n">
        <v>0</v>
      </c>
      <c r="BC236" t="n">
        <v>0</v>
      </c>
      <c r="BD236" t="n">
        <v>0</v>
      </c>
      <c r="BE236" t="n">
        <v>0</v>
      </c>
      <c r="BF236" t="inlineStr">
        <is>
          <t>CONFORME</t>
        </is>
      </c>
    </row>
    <row r="237" hidden="1" ht="21.75" customHeight="1" thickBot="1">
      <c r="A237" s="77" t="inlineStr">
        <is>
          <t>Paraoupeba</t>
        </is>
      </c>
      <c r="B237" t="inlineStr">
        <is>
          <t>Horizontes</t>
        </is>
      </c>
      <c r="C237" s="80" t="inlineStr">
        <is>
          <t>CA5327</t>
        </is>
      </c>
      <c r="D237" t="inlineStr">
        <is>
          <t>AFEX</t>
        </is>
      </c>
      <c r="E237" t="inlineStr">
        <is>
          <t>CATERPILLAR</t>
        </is>
      </c>
      <c r="F237" t="inlineStr">
        <is>
          <t>CAT 785C</t>
        </is>
      </c>
      <c r="G237" s="81">
        <f>IFERROR(IF(F237=$AB$2,"",VLOOKUP(F237,'DATASHEET EQUIPAMENTOS'!D:N,2,FALSE)),"")</f>
        <v/>
      </c>
      <c r="H237" s="82" t="n"/>
      <c r="I237" s="57">
        <f>_xlfn.XLOOKUP(Tabela2[[#This Row],[Modelo]],'DATASHEET EQUIPAMENTOS'!D:D,'DATASHEET EQUIPAMENTOS'!P:P,"",0,1)</f>
        <v/>
      </c>
      <c r="J237" s="81">
        <f>IF(F237=$Z$2,"",VLOOKUP(F237,'DATASHEET EQUIPAMENTOS'!D:N,3,FALSE))</f>
        <v/>
      </c>
      <c r="K237" s="85" t="n"/>
      <c r="L237" s="95">
        <f>IF(AZ237="CONFORME","CONFORME ✓","NÃO CONFORME ✗")</f>
        <v/>
      </c>
      <c r="M237" s="124">
        <f>IF(F237=$Z$2,"",VLOOKUP(F237,'DATASHEET EQUIPAMENTOS'!D:N,4,FALSE))</f>
        <v/>
      </c>
      <c r="N237" s="57" t="n"/>
      <c r="O237" s="125">
        <f>IF(F237=$Z$2,"",VLOOKUP(F237,'DATASHEET EQUIPAMENTOS'!D:N,5,FALSE))</f>
        <v/>
      </c>
      <c r="P237" s="57" t="n"/>
      <c r="Q237" s="56">
        <f>IF(F237=$Z$2,"",VLOOKUP(F237,'DATASHEET EQUIPAMENTOS'!D:N,6,FALSE))</f>
        <v/>
      </c>
      <c r="R237" s="57" t="n"/>
      <c r="S237" s="126">
        <f>IF(Tabela2[[#This Row],[Instalado Sensor Motor]]="Linear","CONFORME ✓",IF(SUM(M237,O237,Q237)&lt;SUM(N237,P237,R237),"CONFORME ✓",IF(SUM(M237,O237,Q237)=SUM(N237,P237,R237),"CONFORME ✓","NÃO CONFORME ✗")))</f>
        <v/>
      </c>
      <c r="T237" s="56">
        <f>IF(F237=$Z$2,"",VLOOKUP(F237,'DATASHEET EQUIPAMENTOS'!D:N,7,FALSE))</f>
        <v/>
      </c>
      <c r="U237" s="57" t="n"/>
      <c r="V237" s="56">
        <f>IF(F237=$Z$2,"",VLOOKUP(F237,'DATASHEET EQUIPAMENTOS'!D:N,8,FALSE))</f>
        <v/>
      </c>
      <c r="W237" s="57" t="n"/>
      <c r="X237" s="56">
        <f>IF(F237=$Z$2,"",VLOOKUP(F237,'DATASHEET EQUIPAMENTOS'!D:N,9,FALSE))</f>
        <v/>
      </c>
      <c r="Y237" s="57" t="n"/>
      <c r="Z237" s="57">
        <f>IF(SUM(T237,V237,X237)&lt;=SUM(U237,W237,Y237),"CONFORME ✓",IF(SUM(T237,V237,X237)&gt;SUM(U237,W237,Y237),"NÃO CONFORME ✗"))</f>
        <v/>
      </c>
      <c r="AA237" s="56">
        <f>IF(F237=$Z$2,"",VLOOKUP(F237,'DATASHEET EQUIPAMENTOS'!D:N,10,FALSE))</f>
        <v/>
      </c>
      <c r="AB237" s="57" t="n"/>
      <c r="AC237" s="56">
        <f>IF(F237=$Z$2,"",VLOOKUP(F237,'DATASHEET EQUIPAMENTOS'!D:N,11,FALSE))</f>
        <v/>
      </c>
      <c r="AD237" s="57" t="n"/>
      <c r="AE237" s="56">
        <f>IF(F237=$Z$2,"",VLOOKUP(F237,'DATASHEET EQUIPAMENTOS'!D:O,12,FALSE))</f>
        <v/>
      </c>
      <c r="AF237" s="57" t="n"/>
      <c r="AG237" s="127">
        <f>IF(SUM(AA237,AC237,AE237)&lt;=SUM(AB237,AD237,AF237),"CONFORME ✓",IF(SUM(AA237,AC237,AE237)&gt;SUM(AB237,AD237,AF237),"NÃO CONFORME ✗"))</f>
        <v/>
      </c>
      <c r="AH237" s="128" t="n"/>
      <c r="AI237" s="129" t="n"/>
      <c r="AJ237" s="130" t="n"/>
      <c r="AK237" s="131" t="n"/>
      <c r="AL237" s="58">
        <f>IFERROR(CALCULOS!H232,"NECESSÁRIO REVISAR DATASHEET")</f>
        <v/>
      </c>
      <c r="AM237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7" s="64">
        <f>SUM(Tabela2[[#This Row],[Nota de Prioridade Quantitativa(NOTAS: 1 PIOR NOTA; 5 MELHOR NOTA)]],Tabela2[[#This Row],[Nota de Prioridade Qualitativa(NOTAS: 1 PIOR NOTA;  5 MELHOR NOTA)]])</f>
        <v/>
      </c>
      <c r="AO237" s="7" t="n">
        <v>150215</v>
      </c>
      <c r="AP237" s="64">
        <f>SUM(Tabela2[[#This Row],[Nota de Prioridade Quantitativa(NOTAS: 1 PIOR NOTA; 5 MELHOR NOTA)]],Tabela2[[#This Row],[Nota de Prioridade Qualitativa(NOTAS: 1 PIOR NOTA;  5 MELHOR NOTA)]])</f>
        <v/>
      </c>
      <c r="AQ237" s="64" t="n"/>
      <c r="AR237" s="64">
        <f>SUM(Tabela2[[#This Row],[Nota de Prioridade Quantitativa(NOTAS: 1 PIOR NOTA; 5 MELHOR NOTA)]],Tabela2[[#This Row],[Nota de Prioridade Qualitativa(NOTAS: 1 PIOR NOTA;  5 MELHOR NOTA)]])</f>
        <v/>
      </c>
      <c r="AS237" s="7" t="n"/>
      <c r="BB237" t="n">
        <v>0</v>
      </c>
      <c r="BC237" t="n">
        <v>0</v>
      </c>
      <c r="BD237" t="n">
        <v>0</v>
      </c>
      <c r="BE237" t="n">
        <v>0</v>
      </c>
      <c r="BF237" t="inlineStr">
        <is>
          <t>CONFORME</t>
        </is>
      </c>
    </row>
    <row r="238" hidden="1" ht="21.75" customHeight="1" thickBot="1">
      <c r="A238" s="77" t="inlineStr">
        <is>
          <t>VGR</t>
        </is>
      </c>
      <c r="B238" t="inlineStr">
        <is>
          <t>Aboboras</t>
        </is>
      </c>
      <c r="C238" s="80" t="inlineStr">
        <is>
          <t>PF1129</t>
        </is>
      </c>
      <c r="D238" t="inlineStr">
        <is>
          <t>AFEX</t>
        </is>
      </c>
      <c r="E238" t="inlineStr">
        <is>
          <t>CATERPILLAR</t>
        </is>
      </c>
      <c r="F238" t="inlineStr">
        <is>
          <t>CAT MD6290</t>
        </is>
      </c>
      <c r="G238" s="81">
        <f>IFERROR(IF(F238=$AB$2,"",VLOOKUP(F238,'DATASHEET EQUIPAMENTOS'!D:N,2,FALSE)),"")</f>
        <v/>
      </c>
      <c r="H238" s="82" t="n"/>
      <c r="I238" s="57">
        <f>_xlfn.XLOOKUP(Tabela2[[#This Row],[Modelo]],'DATASHEET EQUIPAMENTOS'!D:D,'DATASHEET EQUIPAMENTOS'!P:P,"",0,1)</f>
        <v/>
      </c>
      <c r="J238" s="81">
        <f>IF(F238=$Z$2,"",VLOOKUP(F238,'DATASHEET EQUIPAMENTOS'!D:N,3,FALSE))</f>
        <v/>
      </c>
      <c r="K238" s="85" t="n"/>
      <c r="L238" s="95">
        <f>IF(AZ238="CONFORME","CONFORME ✓","NÃO CONFORME ✗")</f>
        <v/>
      </c>
      <c r="M238" s="124">
        <f>IF(F238=$Z$2,"",VLOOKUP(F238,'DATASHEET EQUIPAMENTOS'!D:N,4,FALSE))</f>
        <v/>
      </c>
      <c r="N238" s="57" t="n"/>
      <c r="O238" s="125">
        <f>IF(F238=$Z$2,"",VLOOKUP(F238,'DATASHEET EQUIPAMENTOS'!D:N,5,FALSE))</f>
        <v/>
      </c>
      <c r="P238" s="57" t="n"/>
      <c r="Q238" s="56">
        <f>IF(F238=$Z$2,"",VLOOKUP(F238,'DATASHEET EQUIPAMENTOS'!D:N,6,FALSE))</f>
        <v/>
      </c>
      <c r="R238" s="57" t="n"/>
      <c r="S238" s="126">
        <f>IF(Tabela2[[#This Row],[Instalado Sensor Motor]]="Linear","CONFORME ✓",IF(SUM(M238,O238,Q238)&lt;SUM(N238,P238,R238),"CONFORME ✓",IF(SUM(M238,O238,Q238)=SUM(N238,P238,R238),"CONFORME ✓","NÃO CONFORME ✗")))</f>
        <v/>
      </c>
      <c r="T238" s="56">
        <f>IF(F238=$Z$2,"",VLOOKUP(F238,'DATASHEET EQUIPAMENTOS'!D:N,7,FALSE))</f>
        <v/>
      </c>
      <c r="U238" s="57" t="n"/>
      <c r="V238" s="56">
        <f>IF(F238=$Z$2,"",VLOOKUP(F238,'DATASHEET EQUIPAMENTOS'!D:N,8,FALSE))</f>
        <v/>
      </c>
      <c r="W238" s="57" t="n"/>
      <c r="X238" s="56">
        <f>IF(F238=$Z$2,"",VLOOKUP(F238,'DATASHEET EQUIPAMENTOS'!D:N,9,FALSE))</f>
        <v/>
      </c>
      <c r="Y238" s="57" t="n"/>
      <c r="Z238" s="57">
        <f>IF(SUM(T238,V238,X238)&lt;=SUM(U238,W238,Y238),"CONFORME ✓",IF(SUM(T238,V238,X238)&gt;SUM(U238,W238,Y238),"NÃO CONFORME ✗"))</f>
        <v/>
      </c>
      <c r="AA238" s="56">
        <f>IF(F238=$Z$2,"",VLOOKUP(F238,'DATASHEET EQUIPAMENTOS'!D:N,10,FALSE))</f>
        <v/>
      </c>
      <c r="AB238" s="57" t="n"/>
      <c r="AC238" s="56">
        <f>IF(F238=$Z$2,"",VLOOKUP(F238,'DATASHEET EQUIPAMENTOS'!D:N,11,FALSE))</f>
        <v/>
      </c>
      <c r="AD238" s="57" t="n"/>
      <c r="AE238" s="56">
        <f>IF(F238=$Z$2,"",VLOOKUP(F238,'DATASHEET EQUIPAMENTOS'!D:O,12,FALSE))</f>
        <v/>
      </c>
      <c r="AF238" s="57" t="n"/>
      <c r="AG238" s="127">
        <f>IF(SUM(AA238,AC238,AE238)&lt;=SUM(AB238,AD238,AF238),"CONFORME ✓",IF(SUM(AA238,AC238,AE238)&gt;SUM(AB238,AD238,AF238),"NÃO CONFORME ✗"))</f>
        <v/>
      </c>
      <c r="AH238" s="128" t="n"/>
      <c r="AI238" s="129" t="n"/>
      <c r="AJ238" s="130" t="n"/>
      <c r="AK238" s="131" t="n"/>
      <c r="AL238" s="58">
        <f>IFERROR(CALCULOS!H233,"NECESSÁRIO REVISAR DATASHEET")</f>
        <v/>
      </c>
      <c r="AM238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8" s="64">
        <f>SUM(Tabela2[[#This Row],[Nota de Prioridade Quantitativa(NOTAS: 1 PIOR NOTA; 5 MELHOR NOTA)]],Tabela2[[#This Row],[Nota de Prioridade Qualitativa(NOTAS: 1 PIOR NOTA;  5 MELHOR NOTA)]])</f>
        <v/>
      </c>
      <c r="AO238" s="7" t="n">
        <v>149833</v>
      </c>
      <c r="AP238" s="64">
        <f>SUM(Tabela2[[#This Row],[Nota de Prioridade Quantitativa(NOTAS: 1 PIOR NOTA; 5 MELHOR NOTA)]],Tabela2[[#This Row],[Nota de Prioridade Qualitativa(NOTAS: 1 PIOR NOTA;  5 MELHOR NOTA)]])</f>
        <v/>
      </c>
      <c r="AQ238" s="64" t="n"/>
      <c r="AR238" s="64">
        <f>SUM(Tabela2[[#This Row],[Nota de Prioridade Quantitativa(NOTAS: 1 PIOR NOTA; 5 MELHOR NOTA)]],Tabela2[[#This Row],[Nota de Prioridade Qualitativa(NOTAS: 1 PIOR NOTA;  5 MELHOR NOTA)]])</f>
        <v/>
      </c>
      <c r="AS238" s="7" t="n"/>
      <c r="BB238" t="n">
        <v>0</v>
      </c>
      <c r="BC238" t="n">
        <v>0</v>
      </c>
      <c r="BD238" t="n">
        <v>0</v>
      </c>
      <c r="BE238" t="n">
        <v>0</v>
      </c>
      <c r="BF238" t="inlineStr">
        <is>
          <t>CONFORME</t>
        </is>
      </c>
    </row>
    <row r="239" hidden="1" ht="21.75" customHeight="1" thickBot="1">
      <c r="A239" s="77" t="inlineStr">
        <is>
          <t>VGR</t>
        </is>
      </c>
      <c r="B239" t="inlineStr">
        <is>
          <t>Aboboras</t>
        </is>
      </c>
      <c r="C239" s="80" t="inlineStr">
        <is>
          <t>PM4351</t>
        </is>
      </c>
      <c r="D239" t="inlineStr">
        <is>
          <t>AFEX</t>
        </is>
      </c>
      <c r="E239" t="inlineStr">
        <is>
          <t>CATERPILLAR</t>
        </is>
      </c>
      <c r="F239" t="inlineStr">
        <is>
          <t>CAT 980L</t>
        </is>
      </c>
      <c r="G239" s="81">
        <f>IFERROR(IF(F239=$AB$2,"",VLOOKUP(F239,'DATASHEET EQUIPAMENTOS'!D:N,2,FALSE)),"")</f>
        <v/>
      </c>
      <c r="H239" s="82" t="n"/>
      <c r="I239" s="57">
        <f>_xlfn.XLOOKUP(Tabela2[[#This Row],[Modelo]],'DATASHEET EQUIPAMENTOS'!D:D,'DATASHEET EQUIPAMENTOS'!P:P,"",0,1)</f>
        <v/>
      </c>
      <c r="J239" s="81">
        <f>IF(F239=$Z$2,"",VLOOKUP(F239,'DATASHEET EQUIPAMENTOS'!D:N,3,FALSE))</f>
        <v/>
      </c>
      <c r="K239" s="85" t="n"/>
      <c r="L239" s="95">
        <f>IF(AZ239="CONFORME","CONFORME ✓","NÃO CONFORME ✗")</f>
        <v/>
      </c>
      <c r="M239" s="124">
        <f>IF(F239=$Z$2,"",VLOOKUP(F239,'DATASHEET EQUIPAMENTOS'!D:N,4,FALSE))</f>
        <v/>
      </c>
      <c r="N239" s="57" t="n"/>
      <c r="O239" s="125">
        <f>IF(F239=$Z$2,"",VLOOKUP(F239,'DATASHEET EQUIPAMENTOS'!D:N,5,FALSE))</f>
        <v/>
      </c>
      <c r="P239" s="57" t="n"/>
      <c r="Q239" s="56">
        <f>IF(F239=$Z$2,"",VLOOKUP(F239,'DATASHEET EQUIPAMENTOS'!D:N,6,FALSE))</f>
        <v/>
      </c>
      <c r="R239" s="57" t="n"/>
      <c r="S239" s="126">
        <f>IF(Tabela2[[#This Row],[Instalado Sensor Motor]]="Linear","CONFORME ✓",IF(SUM(M239,O239,Q239)&lt;SUM(N239,P239,R239),"CONFORME ✓",IF(SUM(M239,O239,Q239)=SUM(N239,P239,R239),"CONFORME ✓","NÃO CONFORME ✗")))</f>
        <v/>
      </c>
      <c r="T239" s="56">
        <f>IF(F239=$Z$2,"",VLOOKUP(F239,'DATASHEET EQUIPAMENTOS'!D:N,7,FALSE))</f>
        <v/>
      </c>
      <c r="U239" s="57" t="n"/>
      <c r="V239" s="56">
        <f>IF(F239=$Z$2,"",VLOOKUP(F239,'DATASHEET EQUIPAMENTOS'!D:N,8,FALSE))</f>
        <v/>
      </c>
      <c r="W239" s="57" t="n"/>
      <c r="X239" s="56">
        <f>IF(F239=$Z$2,"",VLOOKUP(F239,'DATASHEET EQUIPAMENTOS'!D:N,9,FALSE))</f>
        <v/>
      </c>
      <c r="Y239" s="57" t="n"/>
      <c r="Z239" s="57">
        <f>IF(SUM(T239,V239,X239)&lt;=SUM(U239,W239,Y239),"CONFORME ✓",IF(SUM(T239,V239,X239)&gt;SUM(U239,W239,Y239),"NÃO CONFORME ✗"))</f>
        <v/>
      </c>
      <c r="AA239" s="56">
        <f>IF(F239=$Z$2,"",VLOOKUP(F239,'DATASHEET EQUIPAMENTOS'!D:N,10,FALSE))</f>
        <v/>
      </c>
      <c r="AB239" s="57" t="n"/>
      <c r="AC239" s="56">
        <f>IF(F239=$Z$2,"",VLOOKUP(F239,'DATASHEET EQUIPAMENTOS'!D:N,11,FALSE))</f>
        <v/>
      </c>
      <c r="AD239" s="57" t="n"/>
      <c r="AE239" s="56">
        <f>IF(F239=$Z$2,"",VLOOKUP(F239,'DATASHEET EQUIPAMENTOS'!D:O,12,FALSE))</f>
        <v/>
      </c>
      <c r="AF239" s="57" t="n"/>
      <c r="AG239" s="127">
        <f>IF(SUM(AA239,AC239,AE239)&lt;=SUM(AB239,AD239,AF239),"CONFORME ✓",IF(SUM(AA239,AC239,AE239)&gt;SUM(AB239,AD239,AF239),"NÃO CONFORME ✗"))</f>
        <v/>
      </c>
      <c r="AH239" s="128" t="n"/>
      <c r="AI239" s="129" t="n"/>
      <c r="AJ239" s="130" t="n"/>
      <c r="AK239" s="131" t="n"/>
      <c r="AL239" s="58">
        <f>IFERROR(CALCULOS!H234,"NECESSÁRIO REVISAR DATASHEET")</f>
        <v/>
      </c>
      <c r="AM239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39" s="64">
        <f>SUM(Tabela2[[#This Row],[Nota de Prioridade Quantitativa(NOTAS: 1 PIOR NOTA; 5 MELHOR NOTA)]],Tabela2[[#This Row],[Nota de Prioridade Qualitativa(NOTAS: 1 PIOR NOTA;  5 MELHOR NOTA)]])</f>
        <v/>
      </c>
      <c r="AO239" s="7" t="n">
        <v>149832</v>
      </c>
      <c r="AP239" s="64">
        <f>SUM(Tabela2[[#This Row],[Nota de Prioridade Quantitativa(NOTAS: 1 PIOR NOTA; 5 MELHOR NOTA)]],Tabela2[[#This Row],[Nota de Prioridade Qualitativa(NOTAS: 1 PIOR NOTA;  5 MELHOR NOTA)]])</f>
        <v/>
      </c>
      <c r="AQ239" s="64" t="n"/>
      <c r="AR239" s="64">
        <f>SUM(Tabela2[[#This Row],[Nota de Prioridade Quantitativa(NOTAS: 1 PIOR NOTA; 5 MELHOR NOTA)]],Tabela2[[#This Row],[Nota de Prioridade Qualitativa(NOTAS: 1 PIOR NOTA;  5 MELHOR NOTA)]])</f>
        <v/>
      </c>
      <c r="AS239" s="7" t="n"/>
      <c r="BB239" t="n">
        <v>0</v>
      </c>
      <c r="BC239" t="n">
        <v>0</v>
      </c>
      <c r="BD239" t="n">
        <v>0</v>
      </c>
      <c r="BE239" t="n">
        <v>0</v>
      </c>
      <c r="BF239" t="inlineStr">
        <is>
          <t>CONFORME</t>
        </is>
      </c>
    </row>
    <row r="240" hidden="1" ht="21.75" customHeight="1" thickBot="1">
      <c r="A240" s="77" t="inlineStr">
        <is>
          <t>VGR</t>
        </is>
      </c>
      <c r="B240" t="inlineStr">
        <is>
          <t>Aboboras</t>
        </is>
      </c>
      <c r="C240" s="80" t="inlineStr">
        <is>
          <t>CA5496</t>
        </is>
      </c>
      <c r="D240" t="inlineStr">
        <is>
          <t>AFEX</t>
        </is>
      </c>
      <c r="E240" t="inlineStr">
        <is>
          <t>CATERPILLAR</t>
        </is>
      </c>
      <c r="F240" t="inlineStr">
        <is>
          <t>CAT 789D</t>
        </is>
      </c>
      <c r="G240" s="81">
        <f>IFERROR(IF(F240=$AB$2,"",VLOOKUP(F240,'DATASHEET EQUIPAMENTOS'!D:N,2,FALSE)),"")</f>
        <v/>
      </c>
      <c r="H240" s="82" t="n"/>
      <c r="I240" s="57">
        <f>_xlfn.XLOOKUP(Tabela2[[#This Row],[Modelo]],'DATASHEET EQUIPAMENTOS'!D:D,'DATASHEET EQUIPAMENTOS'!P:P,"",0,1)</f>
        <v/>
      </c>
      <c r="J240" s="81">
        <f>IF(F240=$Z$2,"",VLOOKUP(F240,'DATASHEET EQUIPAMENTOS'!D:N,3,FALSE))</f>
        <v/>
      </c>
      <c r="K240" s="85" t="n"/>
      <c r="L240" s="95">
        <f>IF(AZ240="CONFORME","CONFORME ✓","NÃO CONFORME ✗")</f>
        <v/>
      </c>
      <c r="M240" s="124">
        <f>IF(F240=$Z$2,"",VLOOKUP(F240,'DATASHEET EQUIPAMENTOS'!D:N,4,FALSE))</f>
        <v/>
      </c>
      <c r="N240" s="57" t="n"/>
      <c r="O240" s="125">
        <f>IF(F240=$Z$2,"",VLOOKUP(F240,'DATASHEET EQUIPAMENTOS'!D:N,5,FALSE))</f>
        <v/>
      </c>
      <c r="P240" s="57" t="n"/>
      <c r="Q240" s="56">
        <f>IF(F240=$Z$2,"",VLOOKUP(F240,'DATASHEET EQUIPAMENTOS'!D:N,6,FALSE))</f>
        <v/>
      </c>
      <c r="R240" s="57" t="n"/>
      <c r="S240" s="126">
        <f>IF(Tabela2[[#This Row],[Instalado Sensor Motor]]="Linear","CONFORME ✓",IF(SUM(M240,O240,Q240)&lt;SUM(N240,P240,R240),"CONFORME ✓",IF(SUM(M240,O240,Q240)=SUM(N240,P240,R240),"CONFORME ✓","NÃO CONFORME ✗")))</f>
        <v/>
      </c>
      <c r="T240" s="56">
        <f>IF(F240=$Z$2,"",VLOOKUP(F240,'DATASHEET EQUIPAMENTOS'!D:N,7,FALSE))</f>
        <v/>
      </c>
      <c r="U240" s="57" t="n"/>
      <c r="V240" s="56">
        <f>IF(F240=$Z$2,"",VLOOKUP(F240,'DATASHEET EQUIPAMENTOS'!D:N,8,FALSE))</f>
        <v/>
      </c>
      <c r="W240" s="57" t="n"/>
      <c r="X240" s="56">
        <f>IF(F240=$Z$2,"",VLOOKUP(F240,'DATASHEET EQUIPAMENTOS'!D:N,9,FALSE))</f>
        <v/>
      </c>
      <c r="Y240" s="57" t="n"/>
      <c r="Z240" s="57">
        <f>IF(SUM(T240,V240,X240)&lt;=SUM(U240,W240,Y240),"CONFORME ✓",IF(SUM(T240,V240,X240)&gt;SUM(U240,W240,Y240),"NÃO CONFORME ✗"))</f>
        <v/>
      </c>
      <c r="AA240" s="56">
        <f>IF(F240=$Z$2,"",VLOOKUP(F240,'DATASHEET EQUIPAMENTOS'!D:N,10,FALSE))</f>
        <v/>
      </c>
      <c r="AB240" s="57" t="n"/>
      <c r="AC240" s="56">
        <f>IF(F240=$Z$2,"",VLOOKUP(F240,'DATASHEET EQUIPAMENTOS'!D:N,11,FALSE))</f>
        <v/>
      </c>
      <c r="AD240" s="57" t="n"/>
      <c r="AE240" s="56">
        <f>IF(F240=$Z$2,"",VLOOKUP(F240,'DATASHEET EQUIPAMENTOS'!D:O,12,FALSE))</f>
        <v/>
      </c>
      <c r="AF240" s="57" t="n"/>
      <c r="AG240" s="127">
        <f>IF(SUM(AA240,AC240,AE240)&lt;=SUM(AB240,AD240,AF240),"CONFORME ✓",IF(SUM(AA240,AC240,AE240)&gt;SUM(AB240,AD240,AF240),"NÃO CONFORME ✗"))</f>
        <v/>
      </c>
      <c r="AH240" s="128" t="n"/>
      <c r="AI240" s="129" t="n"/>
      <c r="AJ240" s="130" t="n"/>
      <c r="AK240" s="131" t="n"/>
      <c r="AL240" s="58">
        <f>IFERROR(CALCULOS!H235,"NECESSÁRIO REVISAR DATASHEET")</f>
        <v/>
      </c>
      <c r="AM240" s="69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40" s="64">
        <f>SUM(Tabela2[[#This Row],[Nota de Prioridade Quantitativa(NOTAS: 1 PIOR NOTA; 5 MELHOR NOTA)]],Tabela2[[#This Row],[Nota de Prioridade Qualitativa(NOTAS: 1 PIOR NOTA;  5 MELHOR NOTA)]])</f>
        <v/>
      </c>
      <c r="AO240" s="7" t="n">
        <v>149824</v>
      </c>
      <c r="AP240" s="64">
        <f>SUM(Tabela2[[#This Row],[Nota de Prioridade Quantitativa(NOTAS: 1 PIOR NOTA; 5 MELHOR NOTA)]],Tabela2[[#This Row],[Nota de Prioridade Qualitativa(NOTAS: 1 PIOR NOTA;  5 MELHOR NOTA)]])</f>
        <v/>
      </c>
      <c r="AQ240" s="64" t="n"/>
      <c r="AR240" s="64">
        <f>SUM(Tabela2[[#This Row],[Nota de Prioridade Quantitativa(NOTAS: 1 PIOR NOTA; 5 MELHOR NOTA)]],Tabela2[[#This Row],[Nota de Prioridade Qualitativa(NOTAS: 1 PIOR NOTA;  5 MELHOR NOTA)]])</f>
        <v/>
      </c>
      <c r="AS240" s="7" t="n"/>
      <c r="BB240" t="n">
        <v>0</v>
      </c>
      <c r="BC240" t="n">
        <v>0</v>
      </c>
      <c r="BD240" t="n">
        <v>0</v>
      </c>
      <c r="BE240" t="n">
        <v>0</v>
      </c>
      <c r="BF240" t="inlineStr">
        <is>
          <t>CONFORME</t>
        </is>
      </c>
    </row>
    <row r="241" hidden="1">
      <c r="A241" s="77" t="inlineStr">
        <is>
          <t>VGR</t>
        </is>
      </c>
      <c r="B241" t="inlineStr">
        <is>
          <t>Aboboras</t>
        </is>
      </c>
      <c r="C241" s="133" t="inlineStr">
        <is>
          <t>CA5499</t>
        </is>
      </c>
      <c r="D241" t="inlineStr">
        <is>
          <t>AFEX</t>
        </is>
      </c>
      <c r="E241" t="inlineStr">
        <is>
          <t>CATERPILLAR</t>
        </is>
      </c>
      <c r="F241" t="inlineStr">
        <is>
          <t>CAT 789D</t>
        </is>
      </c>
      <c r="G241" s="134">
        <f>IFERROR(IF(F241=$AB$2,"",VLOOKUP(F241,'DATASHEET EQUIPAMENTOS'!D:N,2,FALSE)),"")</f>
        <v/>
      </c>
      <c r="H241" s="135" t="n"/>
      <c r="I241" s="132">
        <f>_xlfn.XLOOKUP(Tabela2[[#This Row],[Modelo]],'DATASHEET EQUIPAMENTOS'!D:D,'DATASHEET EQUIPAMENTOS'!P:P,"",0,1)</f>
        <v/>
      </c>
      <c r="J241" s="134">
        <f>IF(F241=$Z$2,"",VLOOKUP(F241,'DATASHEET EQUIPAMENTOS'!D:N,3,FALSE))</f>
        <v/>
      </c>
      <c r="K241" s="136" t="n"/>
      <c r="L241" s="137">
        <f>IF(AZ241="CONFORME","CONFORME ✓","NÃO CONFORME ✗")</f>
        <v/>
      </c>
      <c r="M241" s="138">
        <f>IF(F241=$Z$2,"",VLOOKUP(F241,'DATASHEET EQUIPAMENTOS'!D:N,4,FALSE))</f>
        <v/>
      </c>
      <c r="N241" s="132" t="n"/>
      <c r="O241" s="139">
        <f>IF(F241=$Z$2,"",VLOOKUP(F241,'DATASHEET EQUIPAMENTOS'!D:N,5,FALSE))</f>
        <v/>
      </c>
      <c r="P241" s="132" t="n"/>
      <c r="Q241" s="140">
        <f>IF(F241=$Z$2,"",VLOOKUP(F241,'DATASHEET EQUIPAMENTOS'!D:N,6,FALSE))</f>
        <v/>
      </c>
      <c r="R241" s="132" t="n"/>
      <c r="S241" s="141">
        <f>IF(Tabela2[[#This Row],[Instalado Sensor Motor]]="Linear","CONFORME ✓",IF(SUM(M241,O241,Q241)&lt;SUM(N241,P241,R241),"CONFORME ✓",IF(SUM(M241,O241,Q241)=SUM(N241,P241,R241),"CONFORME ✓","NÃO CONFORME ✗")))</f>
        <v/>
      </c>
      <c r="T241" s="140">
        <f>IF(F241=$Z$2,"",VLOOKUP(F241,'DATASHEET EQUIPAMENTOS'!D:N,7,FALSE))</f>
        <v/>
      </c>
      <c r="U241" s="132" t="n"/>
      <c r="V241" s="140">
        <f>IF(F241=$Z$2,"",VLOOKUP(F241,'DATASHEET EQUIPAMENTOS'!D:N,8,FALSE))</f>
        <v/>
      </c>
      <c r="W241" s="132" t="n"/>
      <c r="X241" s="140">
        <f>IF(F241=$Z$2,"",VLOOKUP(F241,'DATASHEET EQUIPAMENTOS'!D:N,9,FALSE))</f>
        <v/>
      </c>
      <c r="Y241" s="132" t="n"/>
      <c r="Z241" s="132">
        <f>IF(SUM(T241,V241,X241)&lt;=SUM(U241,W241,Y241),"CONFORME ✓",IF(SUM(T241,V241,X241)&gt;SUM(U241,W241,Y241),"NÃO CONFORME ✗"))</f>
        <v/>
      </c>
      <c r="AA241" s="140">
        <f>IF(F241=$Z$2,"",VLOOKUP(F241,'DATASHEET EQUIPAMENTOS'!D:N,10,FALSE))</f>
        <v/>
      </c>
      <c r="AB241" s="132" t="n"/>
      <c r="AC241" s="140">
        <f>IF(F241=$Z$2,"",VLOOKUP(F241,'DATASHEET EQUIPAMENTOS'!D:N,11,FALSE))</f>
        <v/>
      </c>
      <c r="AD241" s="132" t="n"/>
      <c r="AE241" s="140">
        <f>IF(F241=$Z$2,"",VLOOKUP(F241,'DATASHEET EQUIPAMENTOS'!D:O,12,FALSE))</f>
        <v/>
      </c>
      <c r="AF241" s="132" t="n"/>
      <c r="AG241" s="142">
        <f>IF(SUM(AA241,AC241,AE241)&lt;=SUM(AB241,AD241,AF241),"CONFORME ✓",IF(SUM(AA241,AC241,AE241)&gt;SUM(AB241,AD241,AF241),"NÃO CONFORME ✗"))</f>
        <v/>
      </c>
      <c r="AH241" s="143" t="n"/>
      <c r="AI241" s="144" t="n"/>
      <c r="AJ241" s="145" t="n"/>
      <c r="AK241" s="146" t="n"/>
      <c r="AL241" s="147">
        <f>IFERROR(CALCULOS!H236,"NECESSÁRIO REVISAR DATASHEET")</f>
        <v/>
      </c>
      <c r="AM241" s="148">
        <f>IFERROR(AVERAGE(Tabela2[[#This Row],[5.)Layout Monitoramento Sensores/Cabo Linear]],Tabela2[[#This Row],[6.) Layout Bicos e Mangueiras]],Tabela2[[#This Row],[7.)Layout Posicionamento Acionadores e Painel da Cabine]]),"NOTAS QUALITATIVAS NÃO INSERIDAS")</f>
        <v/>
      </c>
      <c r="AN241" s="149">
        <f>SUM(Tabela2[[#This Row],[Nota de Prioridade Quantitativa(NOTAS: 1 PIOR NOTA; 5 MELHOR NOTA)]],Tabela2[[#This Row],[Nota de Prioridade Qualitativa(NOTAS: 1 PIOR NOTA;  5 MELHOR NOTA)]])</f>
        <v/>
      </c>
      <c r="AO241" s="150" t="n">
        <v>149822</v>
      </c>
      <c r="AP241" s="149">
        <f>SUM(Tabela2[[#This Row],[Nota de Prioridade Quantitativa(NOTAS: 1 PIOR NOTA; 5 MELHOR NOTA)]],Tabela2[[#This Row],[Nota de Prioridade Qualitativa(NOTAS: 1 PIOR NOTA;  5 MELHOR NOTA)]])</f>
        <v/>
      </c>
      <c r="AQ241" s="149" t="n"/>
      <c r="AR241" s="149">
        <f>SUM(Tabela2[[#This Row],[Nota de Prioridade Quantitativa(NOTAS: 1 PIOR NOTA; 5 MELHOR NOTA)]],Tabela2[[#This Row],[Nota de Prioridade Qualitativa(NOTAS: 1 PIOR NOTA;  5 MELHOR NOTA)]])</f>
        <v/>
      </c>
      <c r="AS241" s="150" t="n"/>
      <c r="BB241" t="n">
        <v>0</v>
      </c>
      <c r="BC241" t="n">
        <v>0</v>
      </c>
      <c r="BD241" t="n">
        <v>0</v>
      </c>
      <c r="BE241" t="n">
        <v>0</v>
      </c>
      <c r="BF241" t="inlineStr">
        <is>
          <t>CONFORME</t>
        </is>
      </c>
    </row>
  </sheetData>
  <mergeCells count="6">
    <mergeCell ref="Z2:AC2"/>
    <mergeCell ref="F5:K5"/>
    <mergeCell ref="A2:E2"/>
    <mergeCell ref="F2:J2"/>
    <mergeCell ref="L2:R2"/>
    <mergeCell ref="S2:Y2"/>
  </mergeCells>
  <conditionalFormatting sqref="L6:L241">
    <cfRule type="cellIs" priority="56" operator="equal" dxfId="55">
      <formula>"CONFORME ✓"</formula>
    </cfRule>
    <cfRule type="cellIs" priority="61" operator="equal" dxfId="54">
      <formula>"NÃO CONFORME ✗"</formula>
    </cfRule>
  </conditionalFormatting>
  <conditionalFormatting sqref="R1:R5">
    <cfRule type="cellIs" priority="51" operator="equal" dxfId="55">
      <formula>"CONFORME ✓"</formula>
    </cfRule>
    <cfRule type="cellIs" priority="52" operator="equal" dxfId="62">
      <formula>"NÃO CONFORME ✗"</formula>
    </cfRule>
  </conditionalFormatting>
  <conditionalFormatting sqref="AF1:AF5 AG6:AG187 Y1:Y5 Z6:Z187">
    <cfRule type="cellIs" priority="49" operator="equal" dxfId="62">
      <formula>"NÃO CONFORME ✗"</formula>
    </cfRule>
    <cfRule type="cellIs" priority="50" operator="equal" dxfId="55">
      <formula>"CONFORME ✓"</formula>
    </cfRule>
  </conditionalFormatting>
  <conditionalFormatting sqref="AG1:AI5">
    <cfRule type="cellIs" priority="45" operator="equal" dxfId="62">
      <formula>"NÃO CONFORME ✗"</formula>
    </cfRule>
    <cfRule type="cellIs" priority="46" operator="equal" dxfId="55">
      <formula>"CONFORME ✓"</formula>
    </cfRule>
  </conditionalFormatting>
  <conditionalFormatting sqref="AL6:AL241">
    <cfRule type="cellIs" priority="43" operator="lessThanOrEqual" dxfId="62">
      <formula>2.4</formula>
    </cfRule>
  </conditionalFormatting>
  <conditionalFormatting sqref="AL7:AL241">
    <cfRule type="cellIs" priority="24" operator="greaterThanOrEqual" dxfId="55">
      <formula>4</formula>
    </cfRule>
    <cfRule type="cellIs" priority="42" operator="between" dxfId="61">
      <formula>2.5</formula>
      <formula>3.9</formula>
    </cfRule>
  </conditionalFormatting>
  <conditionalFormatting sqref="AH6:AJ6">
    <cfRule type="cellIs" priority="34" operator="equal" dxfId="62">
      <formula>"NÃO CONFORME ✗"</formula>
    </cfRule>
    <cfRule type="cellIs" priority="41" operator="equal" dxfId="55">
      <formula>"CONFORME ✓"</formula>
    </cfRule>
  </conditionalFormatting>
  <conditionalFormatting sqref="AP6 AN1:AN5 AO6:AO187 AN243:AN1048576">
    <cfRule type="duplicateValues" priority="33" dxfId="50"/>
  </conditionalFormatting>
  <conditionalFormatting sqref="AP6 AN1:AN5 AO6:AO187">
    <cfRule type="duplicateValues" priority="66" dxfId="50"/>
  </conditionalFormatting>
  <conditionalFormatting sqref="B1:B5 C6:C187">
    <cfRule type="duplicateValues" priority="68" dxfId="50"/>
    <cfRule type="duplicateValues" priority="69" dxfId="50"/>
  </conditionalFormatting>
  <conditionalFormatting sqref="AM6:AN6 AM7:AM241">
    <cfRule type="cellIs" priority="70" operator="lessThanOrEqual" dxfId="62">
      <formula>2.4</formula>
    </cfRule>
  </conditionalFormatting>
  <conditionalFormatting sqref="AM7:AM241">
    <cfRule type="cellIs" priority="32" operator="between" dxfId="61">
      <formula>2.5</formula>
      <formula>3.9</formula>
    </cfRule>
    <cfRule type="containsBlanks" priority="71" dxfId="60">
      <formula>LEN(TRIM(AM7))=0</formula>
    </cfRule>
  </conditionalFormatting>
  <conditionalFormatting sqref="AR7:AR241">
    <cfRule type="cellIs" priority="27" operator="lessThanOrEqual" dxfId="62">
      <formula>4.9</formula>
    </cfRule>
    <cfRule type="cellIs" priority="28" operator="between" dxfId="65">
      <formula>5</formula>
      <formula>7.4</formula>
    </cfRule>
    <cfRule type="cellIs" priority="29" operator="greaterThanOrEqual" dxfId="55">
      <formula>7.5</formula>
    </cfRule>
  </conditionalFormatting>
  <conditionalFormatting sqref="AM7:AM241 AL242:AM1048576 AM188:AN241">
    <cfRule type="cellIs" priority="31" operator="greaterThanOrEqual" dxfId="55">
      <formula>4</formula>
    </cfRule>
  </conditionalFormatting>
  <conditionalFormatting sqref="AM7:AM241 AL1:AM5 AM6:AN6 AL242:AM1048576 AM188:AN241">
    <cfRule type="containsText" priority="25" operator="containsText" dxfId="58" text="NÃO INSERIDA">
      <formula>NOT(ISERROR(SEARCH("NÃO INSERIDA",AL1)))</formula>
    </cfRule>
  </conditionalFormatting>
  <conditionalFormatting sqref="AK1:AK5 AK242:AK1048576 AL6:AL241">
    <cfRule type="containsText" priority="44" operator="containsText" dxfId="70" text="NÃO INSERIDAS">
      <formula>NOT(ISERROR(SEARCH("NÃO INSERIDAS",AK1)))</formula>
    </cfRule>
  </conditionalFormatting>
  <conditionalFormatting sqref="AP7:AP241">
    <cfRule type="cellIs" priority="21" operator="lessThanOrEqual" dxfId="62">
      <formula>4.9</formula>
    </cfRule>
    <cfRule type="cellIs" priority="22" operator="between" dxfId="65">
      <formula>5</formula>
      <formula>7.4</formula>
    </cfRule>
    <cfRule type="cellIs" priority="23" operator="greaterThanOrEqual" dxfId="55">
      <formula>7.5</formula>
    </cfRule>
  </conditionalFormatting>
  <conditionalFormatting sqref="AN7:AN241">
    <cfRule type="cellIs" priority="18" operator="lessThanOrEqual" dxfId="62">
      <formula>4.9</formula>
    </cfRule>
    <cfRule type="cellIs" priority="19" operator="between" dxfId="65">
      <formula>5</formula>
      <formula>7.4</formula>
    </cfRule>
    <cfRule type="cellIs" priority="20" operator="greaterThanOrEqual" dxfId="55">
      <formula>7.5</formula>
    </cfRule>
  </conditionalFormatting>
  <conditionalFormatting sqref="AH7:AJ241">
    <cfRule type="containsBlanks" priority="12" dxfId="63">
      <formula>LEN(TRIM(AH7))=0</formula>
    </cfRule>
    <cfRule type="cellIs" priority="16" operator="lessThanOrEqual" dxfId="62">
      <formula>2.4</formula>
    </cfRule>
    <cfRule type="cellIs" priority="15" operator="between" dxfId="61">
      <formula>2.5</formula>
      <formula>3.9</formula>
    </cfRule>
    <cfRule type="containsBlanks" priority="17" dxfId="60">
      <formula>LEN(TRIM(AH7))=0</formula>
    </cfRule>
    <cfRule type="cellIs" priority="14" operator="greaterThanOrEqual" dxfId="55">
      <formula>4</formula>
    </cfRule>
    <cfRule type="containsText" priority="13" operator="containsText" dxfId="58" text="NÃO INSERIDA">
      <formula>NOT(ISERROR(SEARCH("NÃO INSERIDA",AH7)))</formula>
    </cfRule>
  </conditionalFormatting>
  <conditionalFormatting sqref="K2:K4">
    <cfRule type="cellIs" priority="9" operator="equal" dxfId="55">
      <formula>"CONFORME ✓"</formula>
    </cfRule>
    <cfRule type="cellIs" priority="10" operator="equal" dxfId="54">
      <formula>"NÃO CONFORME ✗"</formula>
    </cfRule>
  </conditionalFormatting>
  <conditionalFormatting sqref="S7:S241">
    <cfRule type="cellIs" priority="5" operator="equal" dxfId="55">
      <formula>"CONFORME ✓"</formula>
    </cfRule>
    <cfRule type="cellIs" priority="6" operator="equal" dxfId="54">
      <formula>"NÃO CONFORME ✗"</formula>
    </cfRule>
  </conditionalFormatting>
  <conditionalFormatting sqref="AN242">
    <cfRule type="duplicateValues" priority="3" dxfId="50"/>
    <cfRule type="duplicateValues" priority="4" dxfId="50"/>
  </conditionalFormatting>
  <conditionalFormatting sqref="AO188:AO241">
    <cfRule type="duplicateValues" priority="1" dxfId="50"/>
    <cfRule type="duplicateValues" priority="2" dxfId="50"/>
  </conditionalFormatting>
  <pageMargins left="0.511811024" right="0.511811024" top="0.787401575" bottom="0.787401575" header="0.31496062" footer="0.31496062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I273"/>
  <sheetViews>
    <sheetView tabSelected="1" topLeftCell="A34" workbookViewId="0">
      <selection activeCell="A47" sqref="A47"/>
    </sheetView>
  </sheetViews>
  <sheetFormatPr baseColWidth="8" defaultRowHeight="15"/>
  <cols>
    <col hidden="1" min="5" max="7"/>
    <col width="12" bestFit="1" customWidth="1" min="8" max="8"/>
    <col hidden="1" width="10.7109375" customWidth="1" min="9" max="9"/>
    <col width="27.5703125" bestFit="1" customWidth="1" min="10" max="10"/>
    <col width="12.85546875" bestFit="1" customWidth="1" min="11" max="11"/>
  </cols>
  <sheetData>
    <row r="1">
      <c r="A1" t="inlineStr">
        <is>
          <t>NOTAS 1 (CARGA EXTINTORA)</t>
        </is>
      </c>
      <c r="B1" t="inlineStr">
        <is>
          <t>NOTAS 2 (PESO 1)</t>
        </is>
      </c>
      <c r="C1" t="inlineStr">
        <is>
          <t>NOTAS 3 (PESO 1)</t>
        </is>
      </c>
      <c r="D1" t="inlineStr">
        <is>
          <t>NOTAS 4 (PESO 1)</t>
        </is>
      </c>
      <c r="E1" t="inlineStr">
        <is>
          <t>NOTAS 5 (PESO 2)</t>
        </is>
      </c>
      <c r="F1" t="inlineStr">
        <is>
          <t>NOTAS 6 (PESO 2)</t>
        </is>
      </c>
      <c r="G1" t="inlineStr">
        <is>
          <t>NOTAS 7</t>
        </is>
      </c>
      <c r="H1" t="inlineStr">
        <is>
          <t>Quantitativa</t>
        </is>
      </c>
      <c r="I1" t="inlineStr">
        <is>
          <t>Qualitativa</t>
        </is>
      </c>
    </row>
    <row r="2">
      <c r="A2" s="38">
        <f>IF('VALE - MG'!L7="CONFORME ✓",2,0)</f>
        <v/>
      </c>
      <c r="B2" s="38">
        <f>IF('VALE - MG'!S7="CONFORME ✓",1,0)</f>
        <v/>
      </c>
      <c r="C2" s="38">
        <f>IF('VALE - MG'!Z7="CONFORME ✓",1,0)</f>
        <v/>
      </c>
      <c r="D2" s="38">
        <f>IF('VALE - MG'!AG7="CONFORME ✓",1,0)</f>
        <v/>
      </c>
      <c r="E2" s="38">
        <f>IF('VALE - MG'!AH7="CONFORME ✓",2.5,0)</f>
        <v/>
      </c>
      <c r="F2" s="38">
        <f>IF('VALE - MG'!AI7="CONFORME ✓",2,0)</f>
        <v/>
      </c>
      <c r="G2" s="38">
        <f>IF('VALE - MG'!AJ7="CONFORME ✓",0.5,0)</f>
        <v/>
      </c>
      <c r="H2" s="38">
        <f>SUM(A2:D2)</f>
        <v/>
      </c>
      <c r="I2" s="38">
        <f>SUM(E2:G2)</f>
        <v/>
      </c>
    </row>
    <row r="3">
      <c r="A3" s="38">
        <f>IF('VALE - MG'!L8="CONFORME ✓",2,0)</f>
        <v/>
      </c>
      <c r="B3" s="38">
        <f>IF('VALE - MG'!S8="CONFORME ✓",1,0)</f>
        <v/>
      </c>
      <c r="C3" s="38">
        <f>IF('VALE - MG'!Z8="CONFORME ✓",1,0)</f>
        <v/>
      </c>
      <c r="D3" s="38">
        <f>IF('VALE - MG'!AG8="CONFORME ✓",1,0)</f>
        <v/>
      </c>
      <c r="E3" s="38">
        <f>IF('VALE - MG'!AH8="CONFORME ✓",2.5,0)</f>
        <v/>
      </c>
      <c r="F3" s="38">
        <f>IF('VALE - MG'!AI8="CONFORME ✓",2,0)</f>
        <v/>
      </c>
      <c r="G3" s="38">
        <f>IF('VALE - MG'!AJ8="CONFORME ✓",0.5,0)</f>
        <v/>
      </c>
      <c r="H3" s="38">
        <f>SUM(A3:D3)</f>
        <v/>
      </c>
      <c r="I3" s="38">
        <f>SUM(E3:G3)</f>
        <v/>
      </c>
    </row>
    <row r="4">
      <c r="A4" s="38">
        <f>IF('VALE - MG'!L9="CONFORME ✓",2,0)</f>
        <v/>
      </c>
      <c r="B4" s="38">
        <f>IF('VALE - MG'!S9="CONFORME ✓",1,0)</f>
        <v/>
      </c>
      <c r="C4" s="38">
        <f>IF('VALE - MG'!Z9="CONFORME ✓",1,0)</f>
        <v/>
      </c>
      <c r="D4" s="38">
        <f>IF('VALE - MG'!AG9="CONFORME ✓",1,0)</f>
        <v/>
      </c>
      <c r="E4" s="38">
        <f>IF('VALE - MG'!AH9="CONFORME ✓",2.5,0)</f>
        <v/>
      </c>
      <c r="F4" s="38">
        <f>IF('VALE - MG'!AI9="CONFORME ✓",2,0)</f>
        <v/>
      </c>
      <c r="G4" s="38">
        <f>IF('VALE - MG'!AJ9="CONFORME ✓",0.5,0)</f>
        <v/>
      </c>
      <c r="H4" s="38">
        <f>SUM(A4:D4)</f>
        <v/>
      </c>
      <c r="I4" s="38">
        <f>SUM(E4:G4)</f>
        <v/>
      </c>
    </row>
    <row r="5">
      <c r="A5" s="38">
        <f>IF('VALE - MG'!L10="CONFORME ✓",2,0)</f>
        <v/>
      </c>
      <c r="B5" s="38">
        <f>IF('VALE - MG'!S10="CONFORME ✓",1,0)</f>
        <v/>
      </c>
      <c r="C5" s="38">
        <f>IF('VALE - MG'!Z10="CONFORME ✓",1,0)</f>
        <v/>
      </c>
      <c r="D5" s="38">
        <f>IF('VALE - MG'!AG10="CONFORME ✓",1,0)</f>
        <v/>
      </c>
      <c r="E5" s="38">
        <f>IF('VALE - MG'!AH10="CONFORME ✓",2.5,0)</f>
        <v/>
      </c>
      <c r="F5" s="38">
        <f>IF('VALE - MG'!AI10="CONFORME ✓",2,0)</f>
        <v/>
      </c>
      <c r="G5" s="38">
        <f>IF('VALE - MG'!AJ10="CONFORME ✓",0.5,0)</f>
        <v/>
      </c>
      <c r="H5" s="38">
        <f>SUM(A5:D5)</f>
        <v/>
      </c>
      <c r="I5" s="38">
        <f>SUM(E5:G5)</f>
        <v/>
      </c>
    </row>
    <row r="6">
      <c r="A6" s="38">
        <f>IF('VALE - MG'!L11="CONFORME ✓",2,0)</f>
        <v/>
      </c>
      <c r="B6" s="38">
        <f>IF('VALE - MG'!S11="CONFORME ✓",1,0)</f>
        <v/>
      </c>
      <c r="C6" s="38">
        <f>IF('VALE - MG'!Z11="CONFORME ✓",1,0)</f>
        <v/>
      </c>
      <c r="D6" s="38">
        <f>IF('VALE - MG'!AG11="CONFORME ✓",1,0)</f>
        <v/>
      </c>
      <c r="E6" s="38">
        <f>IF('VALE - MG'!AH11="CONFORME ✓",2.5,0)</f>
        <v/>
      </c>
      <c r="F6" s="38">
        <f>IF('VALE - MG'!AI11="CONFORME ✓",2,0)</f>
        <v/>
      </c>
      <c r="G6" s="38">
        <f>IF('VALE - MG'!AJ11="CONFORME ✓",0.5,0)</f>
        <v/>
      </c>
      <c r="H6" s="38">
        <f>SUM(A6:D6)</f>
        <v/>
      </c>
      <c r="I6" s="38">
        <f>SUM(E6:G6)</f>
        <v/>
      </c>
    </row>
    <row r="7">
      <c r="A7" s="38">
        <f>IF('VALE - MG'!L12="CONFORME ✓",2,0)</f>
        <v/>
      </c>
      <c r="B7" s="38">
        <f>IF('VALE - MG'!S12="CONFORME ✓",1,0)</f>
        <v/>
      </c>
      <c r="C7" s="38">
        <f>IF('VALE - MG'!Z12="CONFORME ✓",1,0)</f>
        <v/>
      </c>
      <c r="D7" s="38">
        <f>IF('VALE - MG'!AG12="CONFORME ✓",1,0)</f>
        <v/>
      </c>
      <c r="E7" s="38">
        <f>IF('VALE - MG'!AH12="CONFORME ✓",2.5,0)</f>
        <v/>
      </c>
      <c r="F7" s="38">
        <f>IF('VALE - MG'!AI12="CONFORME ✓",2,0)</f>
        <v/>
      </c>
      <c r="G7" s="38">
        <f>IF('VALE - MG'!AJ12="CONFORME ✓",0.5,0)</f>
        <v/>
      </c>
      <c r="H7" s="38">
        <f>SUM(A7:D7)</f>
        <v/>
      </c>
      <c r="I7" s="38">
        <f>SUM(E7:G7)</f>
        <v/>
      </c>
    </row>
    <row r="8">
      <c r="A8" s="38">
        <f>IF('VALE - MG'!L13="CONFORME ✓",2,0)</f>
        <v/>
      </c>
      <c r="B8" s="38">
        <f>IF('VALE - MG'!S13="CONFORME ✓",1,0)</f>
        <v/>
      </c>
      <c r="C8" s="38">
        <f>IF('VALE - MG'!Z13="CONFORME ✓",1,0)</f>
        <v/>
      </c>
      <c r="D8" s="38">
        <f>IF('VALE - MG'!AG13="CONFORME ✓",1,0)</f>
        <v/>
      </c>
      <c r="E8" s="38">
        <f>IF('VALE - MG'!AH13="CONFORME ✓",2.5,0)</f>
        <v/>
      </c>
      <c r="F8" s="38">
        <f>IF('VALE - MG'!AI13="CONFORME ✓",2,0)</f>
        <v/>
      </c>
      <c r="G8" s="38">
        <f>IF('VALE - MG'!AJ13="CONFORME ✓",0.5,0)</f>
        <v/>
      </c>
      <c r="H8" s="38">
        <f>SUM(A8:D8)</f>
        <v/>
      </c>
      <c r="I8" s="38">
        <f>SUM(E8:G8)</f>
        <v/>
      </c>
    </row>
    <row r="9">
      <c r="A9" s="38">
        <f>IF('VALE - MG'!L14="CONFORME ✓",2,0)</f>
        <v/>
      </c>
      <c r="B9" s="38">
        <f>IF('VALE - MG'!S14="CONFORME ✓",1,0)</f>
        <v/>
      </c>
      <c r="C9" s="38">
        <f>IF('VALE - MG'!Z14="CONFORME ✓",1,0)</f>
        <v/>
      </c>
      <c r="D9" s="38">
        <f>IF('VALE - MG'!AG14="CONFORME ✓",1,0)</f>
        <v/>
      </c>
      <c r="E9" s="38">
        <f>IF('VALE - MG'!AH14="CONFORME ✓",2.5,0)</f>
        <v/>
      </c>
      <c r="F9" s="38">
        <f>IF('VALE - MG'!AI14="CONFORME ✓",2,0)</f>
        <v/>
      </c>
      <c r="G9" s="38">
        <f>IF('VALE - MG'!AJ14="CONFORME ✓",0.5,0)</f>
        <v/>
      </c>
      <c r="H9" s="38">
        <f>SUM(A9:D9)</f>
        <v/>
      </c>
      <c r="I9" s="38">
        <f>SUM(E9:G9)</f>
        <v/>
      </c>
    </row>
    <row r="10">
      <c r="A10" s="38">
        <f>IF('VALE - MG'!L15="CONFORME ✓",2,0)</f>
        <v/>
      </c>
      <c r="B10" s="38">
        <f>IF('VALE - MG'!S15="CONFORME ✓",1,0)</f>
        <v/>
      </c>
      <c r="C10" s="38">
        <f>IF('VALE - MG'!Z15="CONFORME ✓",1,0)</f>
        <v/>
      </c>
      <c r="D10" s="38">
        <f>IF('VALE - MG'!AG15="CONFORME ✓",1,0)</f>
        <v/>
      </c>
      <c r="E10" s="38">
        <f>IF('VALE - MG'!AH15="CONFORME ✓",2.5,0)</f>
        <v/>
      </c>
      <c r="F10" s="38">
        <f>IF('VALE - MG'!AI15="CONFORME ✓",2,0)</f>
        <v/>
      </c>
      <c r="G10" s="38">
        <f>IF('VALE - MG'!AJ15="CONFORME ✓",0.5,0)</f>
        <v/>
      </c>
      <c r="H10" s="38">
        <f>SUM(A10:D10)</f>
        <v/>
      </c>
      <c r="I10" s="38">
        <f>SUM(E10:G10)</f>
        <v/>
      </c>
    </row>
    <row r="11">
      <c r="A11" s="38">
        <f>IF('VALE - MG'!L16="CONFORME ✓",2,0)</f>
        <v/>
      </c>
      <c r="B11" s="38">
        <f>IF('VALE - MG'!S16="CONFORME ✓",1,0)</f>
        <v/>
      </c>
      <c r="C11" s="38">
        <f>IF('VALE - MG'!Z16="CONFORME ✓",1,0)</f>
        <v/>
      </c>
      <c r="D11" s="38">
        <f>IF('VALE - MG'!AG16="CONFORME ✓",1,0)</f>
        <v/>
      </c>
      <c r="E11" s="38">
        <f>IF('VALE - MG'!AH16="CONFORME ✓",2.5,0)</f>
        <v/>
      </c>
      <c r="F11" s="38">
        <f>IF('VALE - MG'!AI16="CONFORME ✓",2,0)</f>
        <v/>
      </c>
      <c r="G11" s="38">
        <f>IF('VALE - MG'!AJ16="CONFORME ✓",0.5,0)</f>
        <v/>
      </c>
      <c r="H11" s="38">
        <f>SUM(A11:D11)</f>
        <v/>
      </c>
      <c r="I11" s="38">
        <f>SUM(E11:G11)</f>
        <v/>
      </c>
    </row>
    <row r="12">
      <c r="A12" s="38">
        <f>IF('VALE - MG'!L17="CONFORME ✓",2,0)</f>
        <v/>
      </c>
      <c r="B12" s="38">
        <f>IF('VALE - MG'!S17="CONFORME ✓",1,0)</f>
        <v/>
      </c>
      <c r="C12" s="38">
        <f>IF('VALE - MG'!Z17="CONFORME ✓",1,0)</f>
        <v/>
      </c>
      <c r="D12" s="38">
        <f>IF('VALE - MG'!AG17="CONFORME ✓",1,0)</f>
        <v/>
      </c>
      <c r="E12" s="38">
        <f>IF('VALE - MG'!AH17="CONFORME ✓",2.5,0)</f>
        <v/>
      </c>
      <c r="F12" s="38">
        <f>IF('VALE - MG'!AI17="CONFORME ✓",2,0)</f>
        <v/>
      </c>
      <c r="G12" s="38">
        <f>IF('VALE - MG'!AJ17="CONFORME ✓",0.5,0)</f>
        <v/>
      </c>
      <c r="H12" s="38">
        <f>SUM(A12:D12)</f>
        <v/>
      </c>
      <c r="I12" s="38">
        <f>SUM(E12:G12)</f>
        <v/>
      </c>
    </row>
    <row r="13">
      <c r="A13" s="38">
        <f>IF('VALE - MG'!L18="CONFORME ✓",2,0)</f>
        <v/>
      </c>
      <c r="B13" s="38">
        <f>IF('VALE - MG'!S18="CONFORME ✓",1,0)</f>
        <v/>
      </c>
      <c r="C13" s="38">
        <f>IF('VALE - MG'!Z18="CONFORME ✓",1,0)</f>
        <v/>
      </c>
      <c r="D13" s="38">
        <f>IF('VALE - MG'!AG18="CONFORME ✓",1,0)</f>
        <v/>
      </c>
      <c r="E13" s="38">
        <f>IF('VALE - MG'!AH18="CONFORME ✓",2.5,0)</f>
        <v/>
      </c>
      <c r="F13" s="38">
        <f>IF('VALE - MG'!AI18="CONFORME ✓",2,0)</f>
        <v/>
      </c>
      <c r="G13" s="38">
        <f>IF('VALE - MG'!AJ18="CONFORME ✓",0.5,0)</f>
        <v/>
      </c>
      <c r="H13" s="38">
        <f>SUM(A13:D13)</f>
        <v/>
      </c>
      <c r="I13" s="38">
        <f>SUM(E13:G13)</f>
        <v/>
      </c>
    </row>
    <row r="14">
      <c r="A14" s="38">
        <f>IF('VALE - MG'!L19="CONFORME ✓",2,0)</f>
        <v/>
      </c>
      <c r="B14" s="38">
        <f>IF('VALE - MG'!S19="CONFORME ✓",1,0)</f>
        <v/>
      </c>
      <c r="C14" s="38">
        <f>IF('VALE - MG'!Z19="CONFORME ✓",1,0)</f>
        <v/>
      </c>
      <c r="D14" s="38">
        <f>IF('VALE - MG'!AG19="CONFORME ✓",1,0)</f>
        <v/>
      </c>
      <c r="E14" s="38">
        <f>IF('VALE - MG'!AH19="CONFORME ✓",2.5,0)</f>
        <v/>
      </c>
      <c r="F14" s="38">
        <f>IF('VALE - MG'!AI19="CONFORME ✓",2,0)</f>
        <v/>
      </c>
      <c r="G14" s="38">
        <f>IF('VALE - MG'!AJ19="CONFORME ✓",0.5,0)</f>
        <v/>
      </c>
      <c r="H14" s="38">
        <f>SUM(A14:D14)</f>
        <v/>
      </c>
      <c r="I14" s="38">
        <f>SUM(E14:G14)</f>
        <v/>
      </c>
    </row>
    <row r="15">
      <c r="A15" s="38">
        <f>IF('VALE - MG'!L20="CONFORME ✓",2,0)</f>
        <v/>
      </c>
      <c r="B15" s="38">
        <f>IF('VALE - MG'!S20="CONFORME ✓",1,0)</f>
        <v/>
      </c>
      <c r="C15" s="38">
        <f>IF('VALE - MG'!Z20="CONFORME ✓",1,0)</f>
        <v/>
      </c>
      <c r="D15" s="38">
        <f>IF('VALE - MG'!AG20="CONFORME ✓",1,0)</f>
        <v/>
      </c>
      <c r="E15" s="38">
        <f>IF('VALE - MG'!AH20="CONFORME ✓",2.5,0)</f>
        <v/>
      </c>
      <c r="F15" s="38">
        <f>IF('VALE - MG'!AI20="CONFORME ✓",2,0)</f>
        <v/>
      </c>
      <c r="G15" s="38">
        <f>IF('VALE - MG'!AJ20="CONFORME ✓",0.5,0)</f>
        <v/>
      </c>
      <c r="H15" s="38">
        <f>SUM(A15:D15)</f>
        <v/>
      </c>
      <c r="I15" s="38">
        <f>SUM(E15:G15)</f>
        <v/>
      </c>
    </row>
    <row r="16">
      <c r="A16" s="38">
        <f>IF('VALE - MG'!L21="CONFORME ✓",2,0)</f>
        <v/>
      </c>
      <c r="B16" s="38">
        <f>IF('VALE - MG'!S21="CONFORME ✓",1,0)</f>
        <v/>
      </c>
      <c r="C16" s="38">
        <f>IF('VALE - MG'!Z21="CONFORME ✓",1,0)</f>
        <v/>
      </c>
      <c r="D16" s="38">
        <f>IF('VALE - MG'!AG21="CONFORME ✓",1,0)</f>
        <v/>
      </c>
      <c r="E16" s="38">
        <f>IF('VALE - MG'!AH21="CONFORME ✓",2.5,0)</f>
        <v/>
      </c>
      <c r="F16" s="38">
        <f>IF('VALE - MG'!AI21="CONFORME ✓",2,0)</f>
        <v/>
      </c>
      <c r="G16" s="38">
        <f>IF('VALE - MG'!AJ21="CONFORME ✓",0.5,0)</f>
        <v/>
      </c>
      <c r="H16" s="38">
        <f>SUM(A16:D16)</f>
        <v/>
      </c>
      <c r="I16" s="38">
        <f>SUM(E16:G16)</f>
        <v/>
      </c>
    </row>
    <row r="17">
      <c r="A17" s="38">
        <f>IF('VALE - MG'!L22="CONFORME ✓",2,0)</f>
        <v/>
      </c>
      <c r="B17" s="38">
        <f>IF('VALE - MG'!S22="CONFORME ✓",1,0)</f>
        <v/>
      </c>
      <c r="C17" s="38">
        <f>IF('VALE - MG'!Z22="CONFORME ✓",1,0)</f>
        <v/>
      </c>
      <c r="D17" s="38">
        <f>IF('VALE - MG'!AG22="CONFORME ✓",1,0)</f>
        <v/>
      </c>
      <c r="E17" s="38">
        <f>IF('VALE - MG'!AH22="CONFORME ✓",2.5,0)</f>
        <v/>
      </c>
      <c r="F17" s="38">
        <f>IF('VALE - MG'!AI22="CONFORME ✓",2,0)</f>
        <v/>
      </c>
      <c r="G17" s="38">
        <f>IF('VALE - MG'!AJ22="CONFORME ✓",0.5,0)</f>
        <v/>
      </c>
      <c r="H17" s="38">
        <f>SUM(A17:D17)</f>
        <v/>
      </c>
      <c r="I17" s="38">
        <f>SUM(E17:G17)</f>
        <v/>
      </c>
    </row>
    <row r="18">
      <c r="A18" s="38">
        <f>IF('VALE - MG'!L23="CONFORME ✓",2,0)</f>
        <v/>
      </c>
      <c r="B18" s="38">
        <f>IF('VALE - MG'!S23="CONFORME ✓",1,0)</f>
        <v/>
      </c>
      <c r="C18" s="38">
        <f>IF('VALE - MG'!Z23="CONFORME ✓",1,0)</f>
        <v/>
      </c>
      <c r="D18" s="38">
        <f>IF('VALE - MG'!AG23="CONFORME ✓",1,0)</f>
        <v/>
      </c>
      <c r="E18" s="38">
        <f>IF('VALE - MG'!AH23="CONFORME ✓",2.5,0)</f>
        <v/>
      </c>
      <c r="F18" s="38">
        <f>IF('VALE - MG'!AI23="CONFORME ✓",2,0)</f>
        <v/>
      </c>
      <c r="G18" s="38">
        <f>IF('VALE - MG'!AJ23="CONFORME ✓",0.5,0)</f>
        <v/>
      </c>
      <c r="H18" s="38">
        <f>SUM(A18:D18)</f>
        <v/>
      </c>
      <c r="I18" s="38">
        <f>SUM(E18:G18)</f>
        <v/>
      </c>
    </row>
    <row r="19">
      <c r="A19" s="38">
        <f>IF('VALE - MG'!L24="CONFORME ✓",2,0)</f>
        <v/>
      </c>
      <c r="B19" s="38">
        <f>IF('VALE - MG'!S24="CONFORME ✓",1,0)</f>
        <v/>
      </c>
      <c r="C19" s="38">
        <f>IF('VALE - MG'!Z24="CONFORME ✓",1,0)</f>
        <v/>
      </c>
      <c r="D19" s="38">
        <f>IF('VALE - MG'!AG24="CONFORME ✓",1,0)</f>
        <v/>
      </c>
      <c r="E19" s="38">
        <f>IF('VALE - MG'!AH24="CONFORME ✓",2.5,0)</f>
        <v/>
      </c>
      <c r="F19" s="38">
        <f>IF('VALE - MG'!AI24="CONFORME ✓",2,0)</f>
        <v/>
      </c>
      <c r="G19" s="38">
        <f>IF('VALE - MG'!AJ24="CONFORME ✓",0.5,0)</f>
        <v/>
      </c>
      <c r="H19" s="38">
        <f>SUM(A19:D19)</f>
        <v/>
      </c>
      <c r="I19" s="38">
        <f>SUM(E19:G19)</f>
        <v/>
      </c>
    </row>
    <row r="20">
      <c r="A20" s="38">
        <f>IF('VALE - MG'!L25="CONFORME ✓",2,0)</f>
        <v/>
      </c>
      <c r="B20" s="38">
        <f>IF('VALE - MG'!S25="CONFORME ✓",1,0)</f>
        <v/>
      </c>
      <c r="C20" s="38">
        <f>IF('VALE - MG'!Z25="CONFORME ✓",1,0)</f>
        <v/>
      </c>
      <c r="D20" s="38">
        <f>IF('VALE - MG'!AG25="CONFORME ✓",1,0)</f>
        <v/>
      </c>
      <c r="E20" s="38">
        <f>IF('VALE - MG'!AH25="CONFORME ✓",2.5,0)</f>
        <v/>
      </c>
      <c r="F20" s="38">
        <f>IF('VALE - MG'!AI25="CONFORME ✓",2,0)</f>
        <v/>
      </c>
      <c r="G20" s="38">
        <f>IF('VALE - MG'!AJ25="CONFORME ✓",0.5,0)</f>
        <v/>
      </c>
      <c r="H20" s="38">
        <f>SUM(A20:D20)</f>
        <v/>
      </c>
      <c r="I20" s="38">
        <f>SUM(E20:G20)</f>
        <v/>
      </c>
    </row>
    <row r="21">
      <c r="A21" s="38">
        <f>IF('VALE - MG'!L26="CONFORME ✓",2,0)</f>
        <v/>
      </c>
      <c r="B21" s="38">
        <f>IF('VALE - MG'!S26="CONFORME ✓",1,0)</f>
        <v/>
      </c>
      <c r="C21" s="38">
        <f>IF('VALE - MG'!Z26="CONFORME ✓",1,0)</f>
        <v/>
      </c>
      <c r="D21" s="38">
        <f>IF('VALE - MG'!AG26="CONFORME ✓",1,0)</f>
        <v/>
      </c>
      <c r="E21" s="38">
        <f>IF('VALE - MG'!AH26="CONFORME ✓",2.5,0)</f>
        <v/>
      </c>
      <c r="F21" s="38">
        <f>IF('VALE - MG'!AI26="CONFORME ✓",2,0)</f>
        <v/>
      </c>
      <c r="G21" s="38">
        <f>IF('VALE - MG'!AJ26="CONFORME ✓",0.5,0)</f>
        <v/>
      </c>
      <c r="H21" s="38">
        <f>SUM(A21:D21)</f>
        <v/>
      </c>
      <c r="I21" s="38">
        <f>SUM(E21:G21)</f>
        <v/>
      </c>
    </row>
    <row r="22">
      <c r="A22" s="38">
        <f>IF('VALE - MG'!L27="CONFORME ✓",2,0)</f>
        <v/>
      </c>
      <c r="B22" s="38">
        <f>IF('VALE - MG'!S27="CONFORME ✓",1,0)</f>
        <v/>
      </c>
      <c r="C22" s="38">
        <f>IF('VALE - MG'!Z27="CONFORME ✓",1,0)</f>
        <v/>
      </c>
      <c r="D22" s="38">
        <f>IF('VALE - MG'!AG27="CONFORME ✓",1,0)</f>
        <v/>
      </c>
      <c r="E22" s="38">
        <f>IF('VALE - MG'!AH27="CONFORME ✓",2.5,0)</f>
        <v/>
      </c>
      <c r="F22" s="38">
        <f>IF('VALE - MG'!AI27="CONFORME ✓",2,0)</f>
        <v/>
      </c>
      <c r="G22" s="38">
        <f>IF('VALE - MG'!AJ27="CONFORME ✓",0.5,0)</f>
        <v/>
      </c>
      <c r="H22" s="38">
        <f>SUM(A22:D22)</f>
        <v/>
      </c>
      <c r="I22" s="38">
        <f>SUM(E22:G22)</f>
        <v/>
      </c>
    </row>
    <row r="23">
      <c r="A23" s="38">
        <f>IF('VALE - MG'!L28="CONFORME ✓",2,0)</f>
        <v/>
      </c>
      <c r="B23" s="38">
        <f>IF('VALE - MG'!S28="CONFORME ✓",1,0)</f>
        <v/>
      </c>
      <c r="C23" s="38">
        <f>IF('VALE - MG'!Z28="CONFORME ✓",1,0)</f>
        <v/>
      </c>
      <c r="D23" s="38">
        <f>IF('VALE - MG'!AG28="CONFORME ✓",1,0)</f>
        <v/>
      </c>
      <c r="E23" s="38">
        <f>IF('VALE - MG'!AH28="CONFORME ✓",2.5,0)</f>
        <v/>
      </c>
      <c r="F23" s="38">
        <f>IF('VALE - MG'!AI28="CONFORME ✓",2,0)</f>
        <v/>
      </c>
      <c r="G23" s="38">
        <f>IF('VALE - MG'!AJ28="CONFORME ✓",0.5,0)</f>
        <v/>
      </c>
      <c r="H23" s="38">
        <f>SUM(A23:D23)</f>
        <v/>
      </c>
      <c r="I23" s="38">
        <f>SUM(E23:G23)</f>
        <v/>
      </c>
    </row>
    <row r="24">
      <c r="A24" s="38">
        <f>IF('VALE - MG'!L29="CONFORME ✓",2,0)</f>
        <v/>
      </c>
      <c r="B24" s="38">
        <f>IF('VALE - MG'!S29="CONFORME ✓",1,0)</f>
        <v/>
      </c>
      <c r="C24" s="38">
        <f>IF('VALE - MG'!Z29="CONFORME ✓",1,0)</f>
        <v/>
      </c>
      <c r="D24" s="38">
        <f>IF('VALE - MG'!AG29="CONFORME ✓",1,0)</f>
        <v/>
      </c>
      <c r="E24" s="38">
        <f>IF('VALE - MG'!AH29="CONFORME ✓",2.5,0)</f>
        <v/>
      </c>
      <c r="F24" s="38">
        <f>IF('VALE - MG'!AI29="CONFORME ✓",2,0)</f>
        <v/>
      </c>
      <c r="G24" s="38">
        <f>IF('VALE - MG'!AJ29="CONFORME ✓",0.5,0)</f>
        <v/>
      </c>
      <c r="H24" s="38">
        <f>SUM(A24:D24)</f>
        <v/>
      </c>
      <c r="I24" s="38">
        <f>SUM(E24:G24)</f>
        <v/>
      </c>
    </row>
    <row r="25">
      <c r="A25" s="38">
        <f>IF('VALE - MG'!L30="CONFORME ✓",2,0)</f>
        <v/>
      </c>
      <c r="B25" s="38">
        <f>IF('VALE - MG'!S30="CONFORME ✓",1,0)</f>
        <v/>
      </c>
      <c r="C25" s="38">
        <f>IF('VALE - MG'!Z30="CONFORME ✓",1,0)</f>
        <v/>
      </c>
      <c r="D25" s="38">
        <f>IF('VALE - MG'!AG30="CONFORME ✓",1,0)</f>
        <v/>
      </c>
      <c r="E25" s="38">
        <f>IF('VALE - MG'!AH30="CONFORME ✓",2.5,0)</f>
        <v/>
      </c>
      <c r="F25" s="38">
        <f>IF('VALE - MG'!AI30="CONFORME ✓",2,0)</f>
        <v/>
      </c>
      <c r="G25" s="38">
        <f>IF('VALE - MG'!AJ30="CONFORME ✓",0.5,0)</f>
        <v/>
      </c>
      <c r="H25" s="38">
        <f>SUM(A25:D25)</f>
        <v/>
      </c>
      <c r="I25" s="38">
        <f>SUM(E25:G25)</f>
        <v/>
      </c>
    </row>
    <row r="26">
      <c r="A26" s="38">
        <f>IF('VALE - MG'!L31="CONFORME ✓",2,0)</f>
        <v/>
      </c>
      <c r="B26" s="38">
        <f>IF('VALE - MG'!S31="CONFORME ✓",1,0)</f>
        <v/>
      </c>
      <c r="C26" s="38">
        <f>IF('VALE - MG'!Z31="CONFORME ✓",1,0)</f>
        <v/>
      </c>
      <c r="D26" s="38">
        <f>IF('VALE - MG'!AG31="CONFORME ✓",1,0)</f>
        <v/>
      </c>
      <c r="E26" s="38">
        <f>IF('VALE - MG'!AH31="CONFORME ✓",2.5,0)</f>
        <v/>
      </c>
      <c r="F26" s="38">
        <f>IF('VALE - MG'!AI31="CONFORME ✓",2,0)</f>
        <v/>
      </c>
      <c r="G26" s="38">
        <f>IF('VALE - MG'!AJ31="CONFORME ✓",0.5,0)</f>
        <v/>
      </c>
      <c r="H26" s="38">
        <f>SUM(A26:D26)</f>
        <v/>
      </c>
      <c r="I26" s="38">
        <f>SUM(E26:G26)</f>
        <v/>
      </c>
    </row>
    <row r="27">
      <c r="A27" s="38">
        <f>IF('VALE - MG'!L32="CONFORME ✓",2,0)</f>
        <v/>
      </c>
      <c r="B27" s="38">
        <f>IF('VALE - MG'!S32="CONFORME ✓",1,0)</f>
        <v/>
      </c>
      <c r="C27" s="38">
        <f>IF('VALE - MG'!Z32="CONFORME ✓",1,0)</f>
        <v/>
      </c>
      <c r="D27" s="38">
        <f>IF('VALE - MG'!AG32="CONFORME ✓",1,0)</f>
        <v/>
      </c>
      <c r="E27" s="38">
        <f>IF('VALE - MG'!AH32="CONFORME ✓",2.5,0)</f>
        <v/>
      </c>
      <c r="F27" s="38">
        <f>IF('VALE - MG'!AI32="CONFORME ✓",2,0)</f>
        <v/>
      </c>
      <c r="G27" s="38">
        <f>IF('VALE - MG'!AJ32="CONFORME ✓",0.5,0)</f>
        <v/>
      </c>
      <c r="H27" s="38">
        <f>SUM(A27:D27)</f>
        <v/>
      </c>
      <c r="I27" s="38">
        <f>SUM(E27:G27)</f>
        <v/>
      </c>
    </row>
    <row r="28">
      <c r="A28" s="38">
        <f>IF('VALE - MG'!L33="CONFORME ✓",2,0)</f>
        <v/>
      </c>
      <c r="B28" s="38">
        <f>IF('VALE - MG'!S33="CONFORME ✓",1,0)</f>
        <v/>
      </c>
      <c r="C28" s="38">
        <f>IF('VALE - MG'!Z33="CONFORME ✓",1,0)</f>
        <v/>
      </c>
      <c r="D28" s="38">
        <f>IF('VALE - MG'!AG33="CONFORME ✓",1,0)</f>
        <v/>
      </c>
      <c r="E28" s="38">
        <f>IF('VALE - MG'!AH33="CONFORME ✓",2.5,0)</f>
        <v/>
      </c>
      <c r="F28" s="38">
        <f>IF('VALE - MG'!AI33="CONFORME ✓",2,0)</f>
        <v/>
      </c>
      <c r="G28" s="38">
        <f>IF('VALE - MG'!AJ33="CONFORME ✓",0.5,0)</f>
        <v/>
      </c>
      <c r="H28" s="38">
        <f>SUM(A28:D28)</f>
        <v/>
      </c>
      <c r="I28" s="38">
        <f>SUM(E28:G28)</f>
        <v/>
      </c>
    </row>
    <row r="29">
      <c r="A29" s="38">
        <f>IF('VALE - MG'!L34="CONFORME ✓",2,0)</f>
        <v/>
      </c>
      <c r="B29" s="38">
        <f>IF('VALE - MG'!S34="CONFORME ✓",1,0)</f>
        <v/>
      </c>
      <c r="C29" s="38">
        <f>IF('VALE - MG'!Z34="CONFORME ✓",1,0)</f>
        <v/>
      </c>
      <c r="D29" s="38">
        <f>IF('VALE - MG'!AG34="CONFORME ✓",1,0)</f>
        <v/>
      </c>
      <c r="E29" s="38">
        <f>IF('VALE - MG'!AH34="CONFORME ✓",2.5,0)</f>
        <v/>
      </c>
      <c r="F29" s="38">
        <f>IF('VALE - MG'!AI34="CONFORME ✓",2,0)</f>
        <v/>
      </c>
      <c r="G29" s="38">
        <f>IF('VALE - MG'!AJ34="CONFORME ✓",0.5,0)</f>
        <v/>
      </c>
      <c r="H29" s="38">
        <f>SUM(A29:D29)</f>
        <v/>
      </c>
      <c r="I29" s="38">
        <f>SUM(E29:G29)</f>
        <v/>
      </c>
    </row>
    <row r="30">
      <c r="A30" s="38">
        <f>IF('VALE - MG'!L35="CONFORME ✓",2,0)</f>
        <v/>
      </c>
      <c r="B30" s="38">
        <f>IF('VALE - MG'!S35="CONFORME ✓",1,0)</f>
        <v/>
      </c>
      <c r="C30" s="38">
        <f>IF('VALE - MG'!Z35="CONFORME ✓",1,0)</f>
        <v/>
      </c>
      <c r="D30" s="38">
        <f>IF('VALE - MG'!AG35="CONFORME ✓",1,0)</f>
        <v/>
      </c>
      <c r="E30" s="38">
        <f>IF('VALE - MG'!AH35="CONFORME ✓",2.5,0)</f>
        <v/>
      </c>
      <c r="F30" s="38">
        <f>IF('VALE - MG'!AI35="CONFORME ✓",2,0)</f>
        <v/>
      </c>
      <c r="G30" s="38">
        <f>IF('VALE - MG'!AJ35="CONFORME ✓",0.5,0)</f>
        <v/>
      </c>
      <c r="H30" s="38">
        <f>SUM(A30:D30)</f>
        <v/>
      </c>
      <c r="I30" s="38">
        <f>SUM(E30:G30)</f>
        <v/>
      </c>
    </row>
    <row r="31">
      <c r="A31" s="38">
        <f>IF('VALE - MG'!L36="CONFORME ✓",2,0)</f>
        <v/>
      </c>
      <c r="B31" s="38">
        <f>IF('VALE - MG'!S36="CONFORME ✓",1,0)</f>
        <v/>
      </c>
      <c r="C31" s="38">
        <f>IF('VALE - MG'!Z36="CONFORME ✓",1,0)</f>
        <v/>
      </c>
      <c r="D31" s="38">
        <f>IF('VALE - MG'!AG36="CONFORME ✓",1,0)</f>
        <v/>
      </c>
      <c r="E31" s="38">
        <f>IF('VALE - MG'!AH36="CONFORME ✓",2.5,0)</f>
        <v/>
      </c>
      <c r="F31" s="38">
        <f>IF('VALE - MG'!AI36="CONFORME ✓",2,0)</f>
        <v/>
      </c>
      <c r="G31" s="38">
        <f>IF('VALE - MG'!AJ36="CONFORME ✓",0.5,0)</f>
        <v/>
      </c>
      <c r="H31" s="38">
        <f>SUM(A31:D31)</f>
        <v/>
      </c>
      <c r="I31" s="38">
        <f>SUM(E31:G31)</f>
        <v/>
      </c>
    </row>
    <row r="32">
      <c r="A32" s="38">
        <f>IF('VALE - MG'!L37="CONFORME ✓",2,0)</f>
        <v/>
      </c>
      <c r="B32" s="38">
        <f>IF('VALE - MG'!S37="CONFORME ✓",1,0)</f>
        <v/>
      </c>
      <c r="C32" s="38">
        <f>IF('VALE - MG'!Z37="CONFORME ✓",1,0)</f>
        <v/>
      </c>
      <c r="D32" s="38">
        <f>IF('VALE - MG'!AG37="CONFORME ✓",1,0)</f>
        <v/>
      </c>
      <c r="E32" s="38">
        <f>IF('VALE - MG'!AH37="CONFORME ✓",2.5,0)</f>
        <v/>
      </c>
      <c r="F32" s="38">
        <f>IF('VALE - MG'!AI37="CONFORME ✓",2,0)</f>
        <v/>
      </c>
      <c r="G32" s="38">
        <f>IF('VALE - MG'!AJ37="CONFORME ✓",0.5,0)</f>
        <v/>
      </c>
      <c r="H32" s="38">
        <f>SUM(A32:D32)</f>
        <v/>
      </c>
      <c r="I32" s="38">
        <f>SUM(E32:G32)</f>
        <v/>
      </c>
    </row>
    <row r="33">
      <c r="A33" s="38">
        <f>IF('VALE - MG'!L38="CONFORME ✓",2,0)</f>
        <v/>
      </c>
      <c r="B33" s="38">
        <f>IF('VALE - MG'!S38="CONFORME ✓",1,0)</f>
        <v/>
      </c>
      <c r="C33" s="38">
        <f>IF('VALE - MG'!Z38="CONFORME ✓",1,0)</f>
        <v/>
      </c>
      <c r="D33" s="38">
        <f>IF('VALE - MG'!AG38="CONFORME ✓",1,0)</f>
        <v/>
      </c>
      <c r="E33" s="38">
        <f>IF('VALE - MG'!AH38="CONFORME ✓",2.5,0)</f>
        <v/>
      </c>
      <c r="F33" s="38">
        <f>IF('VALE - MG'!AI38="CONFORME ✓",2,0)</f>
        <v/>
      </c>
      <c r="G33" s="38">
        <f>IF('VALE - MG'!AJ38="CONFORME ✓",0.5,0)</f>
        <v/>
      </c>
      <c r="H33" s="38">
        <f>SUM(A33:D33)</f>
        <v/>
      </c>
      <c r="I33" s="38">
        <f>SUM(E33:G33)</f>
        <v/>
      </c>
    </row>
    <row r="34">
      <c r="A34" s="38">
        <f>IF('VALE - MG'!L39="CONFORME ✓",2,0)</f>
        <v/>
      </c>
      <c r="B34" s="38">
        <f>IF('VALE - MG'!S39="CONFORME ✓",1,0)</f>
        <v/>
      </c>
      <c r="C34" s="38">
        <f>IF('VALE - MG'!Z39="CONFORME ✓",1,0)</f>
        <v/>
      </c>
      <c r="D34" s="38">
        <f>IF('VALE - MG'!AG39="CONFORME ✓",1,0)</f>
        <v/>
      </c>
      <c r="E34" s="38">
        <f>IF('VALE - MG'!AH39="CONFORME ✓",2.5,0)</f>
        <v/>
      </c>
      <c r="F34" s="38">
        <f>IF('VALE - MG'!AI39="CONFORME ✓",2,0)</f>
        <v/>
      </c>
      <c r="G34" s="38">
        <f>IF('VALE - MG'!AJ39="CONFORME ✓",0.5,0)</f>
        <v/>
      </c>
      <c r="H34" s="38">
        <f>SUM(A34:D34)</f>
        <v/>
      </c>
      <c r="I34" s="38">
        <f>SUM(E34:G34)</f>
        <v/>
      </c>
    </row>
    <row r="35">
      <c r="A35" s="38">
        <f>IF('VALE - MG'!L40="CONFORME ✓",2,0)</f>
        <v/>
      </c>
      <c r="B35" s="38">
        <f>IF('VALE - MG'!S40="CONFORME ✓",1,0)</f>
        <v/>
      </c>
      <c r="C35" s="38">
        <f>IF('VALE - MG'!Z40="CONFORME ✓",1,0)</f>
        <v/>
      </c>
      <c r="D35" s="38">
        <f>IF('VALE - MG'!AG40="CONFORME ✓",1,0)</f>
        <v/>
      </c>
      <c r="E35" s="38">
        <f>IF('VALE - MG'!AH40="CONFORME ✓",2.5,0)</f>
        <v/>
      </c>
      <c r="F35" s="38">
        <f>IF('VALE - MG'!AI40="CONFORME ✓",2,0)</f>
        <v/>
      </c>
      <c r="G35" s="38">
        <f>IF('VALE - MG'!AJ40="CONFORME ✓",0.5,0)</f>
        <v/>
      </c>
      <c r="H35" s="38">
        <f>SUM(A35:D35)</f>
        <v/>
      </c>
      <c r="I35" s="38">
        <f>SUM(E35:G35)</f>
        <v/>
      </c>
    </row>
    <row r="36">
      <c r="A36" s="38">
        <f>IF('VALE - MG'!L41="CONFORME ✓",2,0)</f>
        <v/>
      </c>
      <c r="B36" s="38">
        <f>IF('VALE - MG'!S41="CONFORME ✓",1,0)</f>
        <v/>
      </c>
      <c r="C36" s="38">
        <f>IF('VALE - MG'!Z41="CONFORME ✓",1,0)</f>
        <v/>
      </c>
      <c r="D36" s="38">
        <f>IF('VALE - MG'!AG41="CONFORME ✓",1,0)</f>
        <v/>
      </c>
      <c r="E36" s="38">
        <f>IF('VALE - MG'!AH41="CONFORME ✓",2.5,0)</f>
        <v/>
      </c>
      <c r="F36" s="38">
        <f>IF('VALE - MG'!AI41="CONFORME ✓",2,0)</f>
        <v/>
      </c>
      <c r="G36" s="38">
        <f>IF('VALE - MG'!AJ41="CONFORME ✓",0.5,0)</f>
        <v/>
      </c>
      <c r="H36" s="38">
        <f>SUM(A36:D36)</f>
        <v/>
      </c>
      <c r="I36" s="38">
        <f>SUM(E36:G36)</f>
        <v/>
      </c>
    </row>
    <row r="37">
      <c r="A37" s="38">
        <f>IF('VALE - MG'!L42="CONFORME ✓",2,0)</f>
        <v/>
      </c>
      <c r="B37" s="38">
        <f>IF('VALE - MG'!S42="CONFORME ✓",1,0)</f>
        <v/>
      </c>
      <c r="C37" s="38">
        <f>IF('VALE - MG'!Z42="CONFORME ✓",1,0)</f>
        <v/>
      </c>
      <c r="D37" s="38">
        <f>IF('VALE - MG'!AG42="CONFORME ✓",1,0)</f>
        <v/>
      </c>
      <c r="E37" s="38">
        <f>IF('VALE - MG'!AH42="CONFORME ✓",2.5,0)</f>
        <v/>
      </c>
      <c r="F37" s="38">
        <f>IF('VALE - MG'!AI42="CONFORME ✓",2,0)</f>
        <v/>
      </c>
      <c r="G37" s="38">
        <f>IF('VALE - MG'!AJ42="CONFORME ✓",0.5,0)</f>
        <v/>
      </c>
      <c r="H37" s="38">
        <f>SUM(A37:D37)</f>
        <v/>
      </c>
      <c r="I37" s="38">
        <f>SUM(E37:G37)</f>
        <v/>
      </c>
    </row>
    <row r="38">
      <c r="A38" s="38">
        <f>IF('VALE - MG'!L43="CONFORME ✓",2,0)</f>
        <v/>
      </c>
      <c r="B38" s="38">
        <f>IF('VALE - MG'!S43="CONFORME ✓",1,0)</f>
        <v/>
      </c>
      <c r="C38" s="38">
        <f>IF('VALE - MG'!Z43="CONFORME ✓",1,0)</f>
        <v/>
      </c>
      <c r="D38" s="38">
        <f>IF('VALE - MG'!AG43="CONFORME ✓",1,0)</f>
        <v/>
      </c>
      <c r="E38" s="38">
        <f>IF('VALE - MG'!AH43="CONFORME ✓",2.5,0)</f>
        <v/>
      </c>
      <c r="F38" s="38">
        <f>IF('VALE - MG'!AI43="CONFORME ✓",2,0)</f>
        <v/>
      </c>
      <c r="G38" s="38">
        <f>IF('VALE - MG'!AJ43="CONFORME ✓",0.5,0)</f>
        <v/>
      </c>
      <c r="H38" s="38">
        <f>SUM(A38:D38)</f>
        <v/>
      </c>
      <c r="I38" s="38">
        <f>SUM(E38:G38)</f>
        <v/>
      </c>
    </row>
    <row r="39">
      <c r="A39" s="38">
        <f>IF('VALE - MG'!L44="CONFORME ✓",2,0)</f>
        <v/>
      </c>
      <c r="B39" s="38">
        <f>IF('VALE - MG'!S44="CONFORME ✓",1,0)</f>
        <v/>
      </c>
      <c r="C39" s="38">
        <f>IF('VALE - MG'!Z44="CONFORME ✓",1,0)</f>
        <v/>
      </c>
      <c r="D39" s="38">
        <f>IF('VALE - MG'!AG44="CONFORME ✓",1,0)</f>
        <v/>
      </c>
      <c r="E39" s="38">
        <f>IF('VALE - MG'!AH44="CONFORME ✓",2.5,0)</f>
        <v/>
      </c>
      <c r="F39" s="38">
        <f>IF('VALE - MG'!AI44="CONFORME ✓",2,0)</f>
        <v/>
      </c>
      <c r="G39" s="38">
        <f>IF('VALE - MG'!AJ44="CONFORME ✓",0.5,0)</f>
        <v/>
      </c>
      <c r="H39" s="38">
        <f>SUM(A39:D39)</f>
        <v/>
      </c>
      <c r="I39" s="38">
        <f>SUM(E39:G39)</f>
        <v/>
      </c>
    </row>
    <row r="40">
      <c r="A40" s="38">
        <f>IF('VALE - MG'!L45="CONFORME ✓",2,0)</f>
        <v/>
      </c>
      <c r="B40" s="38">
        <f>IF('VALE - MG'!S45="CONFORME ✓",1,0)</f>
        <v/>
      </c>
      <c r="C40" s="38">
        <f>IF('VALE - MG'!Z45="CONFORME ✓",1,0)</f>
        <v/>
      </c>
      <c r="D40" s="38">
        <f>IF('VALE - MG'!AG45="CONFORME ✓",1,0)</f>
        <v/>
      </c>
      <c r="E40" s="38">
        <f>IF('VALE - MG'!AH45="CONFORME ✓",2.5,0)</f>
        <v/>
      </c>
      <c r="F40" s="38">
        <f>IF('VALE - MG'!AI45="CONFORME ✓",2,0)</f>
        <v/>
      </c>
      <c r="G40" s="38">
        <f>IF('VALE - MG'!AJ45="CONFORME ✓",0.5,0)</f>
        <v/>
      </c>
      <c r="H40" s="38">
        <f>SUM(A40:D40)</f>
        <v/>
      </c>
      <c r="I40" s="38">
        <f>SUM(E40:G40)</f>
        <v/>
      </c>
    </row>
    <row r="41">
      <c r="A41" s="38">
        <f>IF('VALE - MG'!L46="CONFORME ✓",2,0)</f>
        <v/>
      </c>
      <c r="B41" s="38">
        <f>IF('VALE - MG'!S46="CONFORME ✓",1,0)</f>
        <v/>
      </c>
      <c r="C41" s="38">
        <f>IF('VALE - MG'!Z46="CONFORME ✓",1,0)</f>
        <v/>
      </c>
      <c r="D41" s="38">
        <f>IF('VALE - MG'!AG46="CONFORME ✓",1,0)</f>
        <v/>
      </c>
      <c r="E41" s="38">
        <f>IF('VALE - MG'!AH46="CONFORME ✓",2.5,0)</f>
        <v/>
      </c>
      <c r="F41" s="38">
        <f>IF('VALE - MG'!AI46="CONFORME ✓",2,0)</f>
        <v/>
      </c>
      <c r="G41" s="38">
        <f>IF('VALE - MG'!AJ46="CONFORME ✓",0.5,0)</f>
        <v/>
      </c>
      <c r="H41" s="38">
        <f>SUM(A41:D41)</f>
        <v/>
      </c>
      <c r="I41" s="38">
        <f>SUM(E41:G41)</f>
        <v/>
      </c>
    </row>
    <row r="42">
      <c r="A42" s="38">
        <f>IF('VALE - MG'!L47="CONFORME ✓",2,0)</f>
        <v/>
      </c>
      <c r="B42" s="38">
        <f>IF('VALE - MG'!S47="CONFORME ✓",1,0)</f>
        <v/>
      </c>
      <c r="C42" s="38">
        <f>IF('VALE - MG'!Z47="CONFORME ✓",1,0)</f>
        <v/>
      </c>
      <c r="D42" s="38">
        <f>IF('VALE - MG'!AG47="CONFORME ✓",1,0)</f>
        <v/>
      </c>
      <c r="E42" s="38">
        <f>IF('VALE - MG'!AH47="CONFORME ✓",2.5,0)</f>
        <v/>
      </c>
      <c r="F42" s="38">
        <f>IF('VALE - MG'!AI47="CONFORME ✓",2,0)</f>
        <v/>
      </c>
      <c r="G42" s="38">
        <f>IF('VALE - MG'!AJ47="CONFORME ✓",0.5,0)</f>
        <v/>
      </c>
      <c r="H42" s="38">
        <f>SUM(A42:D42)</f>
        <v/>
      </c>
      <c r="I42" s="38">
        <f>SUM(E42:G42)</f>
        <v/>
      </c>
    </row>
    <row r="43">
      <c r="A43" s="38">
        <f>IF('VALE - MG'!L48="CONFORME ✓",2,0)</f>
        <v/>
      </c>
      <c r="B43" s="38">
        <f>IF('VALE - MG'!S48="CONFORME ✓",1,0)</f>
        <v/>
      </c>
      <c r="C43" s="38">
        <f>IF('VALE - MG'!Z48="CONFORME ✓",1,0)</f>
        <v/>
      </c>
      <c r="D43" s="38">
        <f>IF('VALE - MG'!AG48="CONFORME ✓",1,0)</f>
        <v/>
      </c>
      <c r="E43" s="38">
        <f>IF('VALE - MG'!AH48="CONFORME ✓",2.5,0)</f>
        <v/>
      </c>
      <c r="F43" s="38">
        <f>IF('VALE - MG'!AI48="CONFORME ✓",2,0)</f>
        <v/>
      </c>
      <c r="G43" s="38">
        <f>IF('VALE - MG'!AJ48="CONFORME ✓",0.5,0)</f>
        <v/>
      </c>
      <c r="H43" s="38">
        <f>SUM(A43:D43)</f>
        <v/>
      </c>
      <c r="I43" s="38">
        <f>SUM(E43:G43)</f>
        <v/>
      </c>
    </row>
    <row r="44">
      <c r="A44" s="38">
        <f>IF('VALE - MG'!L49="CONFORME ✓",2,0)</f>
        <v/>
      </c>
      <c r="B44" s="38">
        <f>IF('VALE - MG'!S49="CONFORME ✓",1,0)</f>
        <v/>
      </c>
      <c r="C44" s="38">
        <f>IF('VALE - MG'!Z49="CONFORME ✓",1,0)</f>
        <v/>
      </c>
      <c r="D44" s="38">
        <f>IF('VALE - MG'!AG49="CONFORME ✓",1,0)</f>
        <v/>
      </c>
      <c r="E44" s="38">
        <f>IF('VALE - MG'!AH49="CONFORME ✓",2.5,0)</f>
        <v/>
      </c>
      <c r="F44" s="38">
        <f>IF('VALE - MG'!AI49="CONFORME ✓",2,0)</f>
        <v/>
      </c>
      <c r="G44" s="38">
        <f>IF('VALE - MG'!AJ49="CONFORME ✓",0.5,0)</f>
        <v/>
      </c>
      <c r="H44" s="38">
        <f>SUM(A44:D44)</f>
        <v/>
      </c>
      <c r="I44" s="38">
        <f>SUM(E44:G44)</f>
        <v/>
      </c>
    </row>
    <row r="45">
      <c r="A45" s="38">
        <f>IF('VALE - MG'!L50="CONFORME ✓",2,0)</f>
        <v/>
      </c>
      <c r="B45" s="38">
        <f>IF('VALE - MG'!S50="CONFORME ✓",1,0)</f>
        <v/>
      </c>
      <c r="C45" s="38">
        <f>IF('VALE - MG'!Z50="CONFORME ✓",1,0)</f>
        <v/>
      </c>
      <c r="D45" s="38">
        <f>IF('VALE - MG'!AG50="CONFORME ✓",1,0)</f>
        <v/>
      </c>
      <c r="E45" s="38">
        <f>IF('VALE - MG'!AH50="CONFORME ✓",2.5,0)</f>
        <v/>
      </c>
      <c r="F45" s="38">
        <f>IF('VALE - MG'!AI50="CONFORME ✓",2,0)</f>
        <v/>
      </c>
      <c r="G45" s="38">
        <f>IF('VALE - MG'!AJ50="CONFORME ✓",0.5,0)</f>
        <v/>
      </c>
      <c r="H45" s="38">
        <f>SUM(A45:D45)</f>
        <v/>
      </c>
      <c r="I45" s="38">
        <f>SUM(E45:G45)</f>
        <v/>
      </c>
    </row>
    <row r="46">
      <c r="A46" s="38">
        <f>IF('VALE - MG'!L51="CONFORME ✓",2,0)</f>
        <v/>
      </c>
      <c r="B46" s="38">
        <f>IF('VALE - MG'!S51="CONFORME ✓",1,0)</f>
        <v/>
      </c>
      <c r="C46" s="38">
        <f>IF('VALE - MG'!Z51="CONFORME ✓",1,0)</f>
        <v/>
      </c>
      <c r="D46" s="38">
        <f>IF('VALE - MG'!AG51="CONFORME ✓",1,0)</f>
        <v/>
      </c>
      <c r="E46" s="38">
        <f>IF('VALE - MG'!AH51="CONFORME ✓",2.5,0)</f>
        <v/>
      </c>
      <c r="F46" s="38">
        <f>IF('VALE - MG'!AI51="CONFORME ✓",2,0)</f>
        <v/>
      </c>
      <c r="G46" s="38">
        <f>IF('VALE - MG'!AJ51="CONFORME ✓",0.5,0)</f>
        <v/>
      </c>
      <c r="H46" s="38">
        <f>SUM(A46:D46)</f>
        <v/>
      </c>
      <c r="I46" s="38">
        <f>SUM(E46:G46)</f>
        <v/>
      </c>
    </row>
    <row r="47">
      <c r="A47" s="38">
        <f>IF('VALE - MG'!L52="CONFORME ✓",2,0)</f>
        <v/>
      </c>
      <c r="B47" s="38">
        <f>IF('VALE - MG'!S52="CONFORME ✓",1,0)</f>
        <v/>
      </c>
      <c r="C47" s="38">
        <f>IF('VALE - MG'!Z52="CONFORME ✓",1,0)</f>
        <v/>
      </c>
      <c r="D47" s="38">
        <f>IF('VALE - MG'!AG52="CONFORME ✓",1,0)</f>
        <v/>
      </c>
      <c r="E47" s="38">
        <f>IF('VALE - MG'!AH52="CONFORME ✓",2.5,0)</f>
        <v/>
      </c>
      <c r="F47" s="38">
        <f>IF('VALE - MG'!AI52="CONFORME ✓",2,0)</f>
        <v/>
      </c>
      <c r="G47" s="38">
        <f>IF('VALE - MG'!AJ52="CONFORME ✓",0.5,0)</f>
        <v/>
      </c>
      <c r="H47" s="38">
        <f>SUM(A47:D47)</f>
        <v/>
      </c>
      <c r="I47" s="38">
        <f>SUM(E47:G47)</f>
        <v/>
      </c>
    </row>
    <row r="48">
      <c r="A48" s="38">
        <f>IF('VALE - MG'!L53="CONFORME ✓",2,0)</f>
        <v/>
      </c>
      <c r="B48" s="38">
        <f>IF('VALE - MG'!S53="CONFORME ✓",1,0)</f>
        <v/>
      </c>
      <c r="C48" s="38">
        <f>IF('VALE - MG'!Z53="CONFORME ✓",1,0)</f>
        <v/>
      </c>
      <c r="D48" s="38">
        <f>IF('VALE - MG'!AG53="CONFORME ✓",1,0)</f>
        <v/>
      </c>
      <c r="E48" s="38">
        <f>IF('VALE - MG'!AH53="CONFORME ✓",2.5,0)</f>
        <v/>
      </c>
      <c r="F48" s="38">
        <f>IF('VALE - MG'!AI53="CONFORME ✓",2,0)</f>
        <v/>
      </c>
      <c r="G48" s="38">
        <f>IF('VALE - MG'!AJ53="CONFORME ✓",0.5,0)</f>
        <v/>
      </c>
      <c r="H48" s="38">
        <f>SUM(A48:D48)</f>
        <v/>
      </c>
      <c r="I48" s="38">
        <f>SUM(E48:G48)</f>
        <v/>
      </c>
    </row>
    <row r="49">
      <c r="A49" s="38">
        <f>IF('VALE - MG'!L54="CONFORME ✓",2,0)</f>
        <v/>
      </c>
      <c r="B49" s="38">
        <f>IF('VALE - MG'!S54="CONFORME ✓",1,0)</f>
        <v/>
      </c>
      <c r="C49" s="38">
        <f>IF('VALE - MG'!Z54="CONFORME ✓",1,0)</f>
        <v/>
      </c>
      <c r="D49" s="38">
        <f>IF('VALE - MG'!AG54="CONFORME ✓",1,0)</f>
        <v/>
      </c>
      <c r="E49" s="38">
        <f>IF('VALE - MG'!AH54="CONFORME ✓",2.5,0)</f>
        <v/>
      </c>
      <c r="F49" s="38">
        <f>IF('VALE - MG'!AI54="CONFORME ✓",2,0)</f>
        <v/>
      </c>
      <c r="G49" s="38">
        <f>IF('VALE - MG'!AJ54="CONFORME ✓",0.5,0)</f>
        <v/>
      </c>
      <c r="H49" s="38">
        <f>SUM(A49:D49)</f>
        <v/>
      </c>
      <c r="I49" s="38">
        <f>SUM(E49:G49)</f>
        <v/>
      </c>
    </row>
    <row r="50">
      <c r="A50" s="38">
        <f>IF('VALE - MG'!L55="CONFORME ✓",2,0)</f>
        <v/>
      </c>
      <c r="B50" s="38">
        <f>IF('VALE - MG'!S55="CONFORME ✓",1,0)</f>
        <v/>
      </c>
      <c r="C50" s="38">
        <f>IF('VALE - MG'!Z55="CONFORME ✓",1,0)</f>
        <v/>
      </c>
      <c r="D50" s="38">
        <f>IF('VALE - MG'!AG55="CONFORME ✓",1,0)</f>
        <v/>
      </c>
      <c r="E50" s="38">
        <f>IF('VALE - MG'!AH55="CONFORME ✓",2.5,0)</f>
        <v/>
      </c>
      <c r="F50" s="38">
        <f>IF('VALE - MG'!AI55="CONFORME ✓",2,0)</f>
        <v/>
      </c>
      <c r="G50" s="38">
        <f>IF('VALE - MG'!AJ55="CONFORME ✓",0.5,0)</f>
        <v/>
      </c>
      <c r="H50" s="38">
        <f>SUM(A50:D50)</f>
        <v/>
      </c>
      <c r="I50" s="38">
        <f>SUM(E50:G50)</f>
        <v/>
      </c>
    </row>
    <row r="51">
      <c r="A51" s="38">
        <f>IF('VALE - MG'!L56="CONFORME ✓",2,0)</f>
        <v/>
      </c>
      <c r="B51" s="38">
        <f>IF('VALE - MG'!S56="CONFORME ✓",1,0)</f>
        <v/>
      </c>
      <c r="C51" s="38">
        <f>IF('VALE - MG'!Z56="CONFORME ✓",1,0)</f>
        <v/>
      </c>
      <c r="D51" s="38">
        <f>IF('VALE - MG'!AG56="CONFORME ✓",1,0)</f>
        <v/>
      </c>
      <c r="E51" s="38">
        <f>IF('VALE - MG'!AH56="CONFORME ✓",2.5,0)</f>
        <v/>
      </c>
      <c r="F51" s="38">
        <f>IF('VALE - MG'!AI56="CONFORME ✓",2,0)</f>
        <v/>
      </c>
      <c r="G51" s="38">
        <f>IF('VALE - MG'!AJ56="CONFORME ✓",0.5,0)</f>
        <v/>
      </c>
      <c r="H51" s="38">
        <f>SUM(A51:D51)</f>
        <v/>
      </c>
      <c r="I51" s="38">
        <f>SUM(E51:G51)</f>
        <v/>
      </c>
    </row>
    <row r="52">
      <c r="A52" s="38">
        <f>IF('VALE - MG'!L57="CONFORME ✓",2,0)</f>
        <v/>
      </c>
      <c r="B52" s="38">
        <f>IF('VALE - MG'!S57="CONFORME ✓",1,0)</f>
        <v/>
      </c>
      <c r="C52" s="38">
        <f>IF('VALE - MG'!Z57="CONFORME ✓",1,0)</f>
        <v/>
      </c>
      <c r="D52" s="38">
        <f>IF('VALE - MG'!AG57="CONFORME ✓",1,0)</f>
        <v/>
      </c>
      <c r="E52" s="38">
        <f>IF('VALE - MG'!AH57="CONFORME ✓",2.5,0)</f>
        <v/>
      </c>
      <c r="F52" s="38">
        <f>IF('VALE - MG'!AI57="CONFORME ✓",2,0)</f>
        <v/>
      </c>
      <c r="G52" s="38">
        <f>IF('VALE - MG'!AJ57="CONFORME ✓",0.5,0)</f>
        <v/>
      </c>
      <c r="H52" s="38">
        <f>SUM(A52:D52)</f>
        <v/>
      </c>
      <c r="I52" s="38">
        <f>SUM(E52:G52)</f>
        <v/>
      </c>
    </row>
    <row r="53">
      <c r="A53" s="38">
        <f>IF('VALE - MG'!L58="CONFORME ✓",2,0)</f>
        <v/>
      </c>
      <c r="B53" s="38">
        <f>IF('VALE - MG'!S58="CONFORME ✓",1,0)</f>
        <v/>
      </c>
      <c r="C53" s="38">
        <f>IF('VALE - MG'!Z58="CONFORME ✓",1,0)</f>
        <v/>
      </c>
      <c r="D53" s="38">
        <f>IF('VALE - MG'!AG58="CONFORME ✓",1,0)</f>
        <v/>
      </c>
      <c r="E53" s="38">
        <f>IF('VALE - MG'!AH58="CONFORME ✓",2.5,0)</f>
        <v/>
      </c>
      <c r="F53" s="38">
        <f>IF('VALE - MG'!AI58="CONFORME ✓",2,0)</f>
        <v/>
      </c>
      <c r="G53" s="38">
        <f>IF('VALE - MG'!AJ58="CONFORME ✓",0.5,0)</f>
        <v/>
      </c>
      <c r="H53" s="38">
        <f>SUM(A53:D53)</f>
        <v/>
      </c>
      <c r="I53" s="38">
        <f>SUM(E53:G53)</f>
        <v/>
      </c>
    </row>
    <row r="54">
      <c r="A54" s="38">
        <f>IF('VALE - MG'!L59="CONFORME ✓",2,0)</f>
        <v/>
      </c>
      <c r="B54" s="38">
        <f>IF('VALE - MG'!S59="CONFORME ✓",1,0)</f>
        <v/>
      </c>
      <c r="C54" s="38">
        <f>IF('VALE - MG'!Z59="CONFORME ✓",1,0)</f>
        <v/>
      </c>
      <c r="D54" s="38">
        <f>IF('VALE - MG'!AG59="CONFORME ✓",1,0)</f>
        <v/>
      </c>
      <c r="E54" s="38">
        <f>IF('VALE - MG'!AH59="CONFORME ✓",2.5,0)</f>
        <v/>
      </c>
      <c r="F54" s="38">
        <f>IF('VALE - MG'!AI59="CONFORME ✓",2,0)</f>
        <v/>
      </c>
      <c r="G54" s="38">
        <f>IF('VALE - MG'!AJ59="CONFORME ✓",0.5,0)</f>
        <v/>
      </c>
      <c r="H54" s="38">
        <f>SUM(A54:D54)</f>
        <v/>
      </c>
      <c r="I54" s="38">
        <f>SUM(E54:G54)</f>
        <v/>
      </c>
    </row>
    <row r="55">
      <c r="A55" s="38">
        <f>IF('VALE - MG'!L60="CONFORME ✓",2,0)</f>
        <v/>
      </c>
      <c r="B55" s="38">
        <f>IF('VALE - MG'!S60="CONFORME ✓",1,0)</f>
        <v/>
      </c>
      <c r="C55" s="38">
        <f>IF('VALE - MG'!Z60="CONFORME ✓",1,0)</f>
        <v/>
      </c>
      <c r="D55" s="38">
        <f>IF('VALE - MG'!AG60="CONFORME ✓",1,0)</f>
        <v/>
      </c>
      <c r="E55" s="38">
        <f>IF('VALE - MG'!AH60="CONFORME ✓",2.5,0)</f>
        <v/>
      </c>
      <c r="F55" s="38">
        <f>IF('VALE - MG'!AI60="CONFORME ✓",2,0)</f>
        <v/>
      </c>
      <c r="G55" s="38">
        <f>IF('VALE - MG'!AJ60="CONFORME ✓",0.5,0)</f>
        <v/>
      </c>
      <c r="H55" s="38">
        <f>SUM(A55:D55)</f>
        <v/>
      </c>
      <c r="I55" s="38">
        <f>SUM(E55:G55)</f>
        <v/>
      </c>
    </row>
    <row r="56">
      <c r="A56" s="38">
        <f>IF('VALE - MG'!L61="CONFORME ✓",2,0)</f>
        <v/>
      </c>
      <c r="B56" s="38">
        <f>IF('VALE - MG'!S61="CONFORME ✓",1,0)</f>
        <v/>
      </c>
      <c r="C56" s="38">
        <f>IF('VALE - MG'!Z61="CONFORME ✓",1,0)</f>
        <v/>
      </c>
      <c r="D56" s="38">
        <f>IF('VALE - MG'!AG61="CONFORME ✓",1,0)</f>
        <v/>
      </c>
      <c r="E56" s="38">
        <f>IF('VALE - MG'!AH61="CONFORME ✓",2.5,0)</f>
        <v/>
      </c>
      <c r="F56" s="38">
        <f>IF('VALE - MG'!AI61="CONFORME ✓",2,0)</f>
        <v/>
      </c>
      <c r="G56" s="38">
        <f>IF('VALE - MG'!AJ61="CONFORME ✓",0.5,0)</f>
        <v/>
      </c>
      <c r="H56" s="38">
        <f>SUM(A56:D56)</f>
        <v/>
      </c>
      <c r="I56" s="38">
        <f>SUM(E56:G56)</f>
        <v/>
      </c>
    </row>
    <row r="57">
      <c r="A57" s="38">
        <f>IF('VALE - MG'!L62="CONFORME ✓",2,0)</f>
        <v/>
      </c>
      <c r="B57" s="38">
        <f>IF('VALE - MG'!S62="CONFORME ✓",1,0)</f>
        <v/>
      </c>
      <c r="C57" s="38">
        <f>IF('VALE - MG'!Z62="CONFORME ✓",1,0)</f>
        <v/>
      </c>
      <c r="D57" s="38">
        <f>IF('VALE - MG'!AG62="CONFORME ✓",1,0)</f>
        <v/>
      </c>
      <c r="E57" s="38">
        <f>IF('VALE - MG'!AH62="CONFORME ✓",2.5,0)</f>
        <v/>
      </c>
      <c r="F57" s="38">
        <f>IF('VALE - MG'!AI62="CONFORME ✓",2,0)</f>
        <v/>
      </c>
      <c r="G57" s="38">
        <f>IF('VALE - MG'!AJ62="CONFORME ✓",0.5,0)</f>
        <v/>
      </c>
      <c r="H57" s="38">
        <f>SUM(A57:D57)</f>
        <v/>
      </c>
      <c r="I57" s="38">
        <f>SUM(E57:G57)</f>
        <v/>
      </c>
    </row>
    <row r="58">
      <c r="A58" s="38">
        <f>IF('VALE - MG'!L63="CONFORME ✓",2,0)</f>
        <v/>
      </c>
      <c r="B58" s="38">
        <f>IF('VALE - MG'!S63="CONFORME ✓",1,0)</f>
        <v/>
      </c>
      <c r="C58" s="38">
        <f>IF('VALE - MG'!Z63="CONFORME ✓",1,0)</f>
        <v/>
      </c>
      <c r="D58" s="38">
        <f>IF('VALE - MG'!AG63="CONFORME ✓",1,0)</f>
        <v/>
      </c>
      <c r="E58" s="38">
        <f>IF('VALE - MG'!AH63="CONFORME ✓",2.5,0)</f>
        <v/>
      </c>
      <c r="F58" s="38">
        <f>IF('VALE - MG'!AI63="CONFORME ✓",2,0)</f>
        <v/>
      </c>
      <c r="G58" s="38">
        <f>IF('VALE - MG'!AJ63="CONFORME ✓",0.5,0)</f>
        <v/>
      </c>
      <c r="H58" s="38">
        <f>SUM(A58:D58)</f>
        <v/>
      </c>
      <c r="I58" s="38">
        <f>SUM(E58:G58)</f>
        <v/>
      </c>
    </row>
    <row r="59">
      <c r="A59" s="38">
        <f>IF('VALE - MG'!L64="CONFORME ✓",2,0)</f>
        <v/>
      </c>
      <c r="B59" s="38">
        <f>IF('VALE - MG'!S64="CONFORME ✓",1,0)</f>
        <v/>
      </c>
      <c r="C59" s="38">
        <f>IF('VALE - MG'!Z64="CONFORME ✓",1,0)</f>
        <v/>
      </c>
      <c r="D59" s="38">
        <f>IF('VALE - MG'!AG64="CONFORME ✓",1,0)</f>
        <v/>
      </c>
      <c r="E59" s="38">
        <f>IF('VALE - MG'!AH64="CONFORME ✓",2.5,0)</f>
        <v/>
      </c>
      <c r="F59" s="38">
        <f>IF('VALE - MG'!AI64="CONFORME ✓",2,0)</f>
        <v/>
      </c>
      <c r="G59" s="38">
        <f>IF('VALE - MG'!AJ64="CONFORME ✓",0.5,0)</f>
        <v/>
      </c>
      <c r="H59" s="38">
        <f>SUM(A59:D59)</f>
        <v/>
      </c>
      <c r="I59" s="38">
        <f>SUM(E59:G59)</f>
        <v/>
      </c>
    </row>
    <row r="60">
      <c r="A60" s="38">
        <f>IF('VALE - MG'!L65="CONFORME ✓",2,0)</f>
        <v/>
      </c>
      <c r="B60" s="38">
        <f>IF('VALE - MG'!S65="CONFORME ✓",1,0)</f>
        <v/>
      </c>
      <c r="C60" s="38">
        <f>IF('VALE - MG'!Z65="CONFORME ✓",1,0)</f>
        <v/>
      </c>
      <c r="D60" s="38">
        <f>IF('VALE - MG'!AG65="CONFORME ✓",1,0)</f>
        <v/>
      </c>
      <c r="E60" s="38">
        <f>IF('VALE - MG'!AH65="CONFORME ✓",2.5,0)</f>
        <v/>
      </c>
      <c r="F60" s="38">
        <f>IF('VALE - MG'!AI65="CONFORME ✓",2,0)</f>
        <v/>
      </c>
      <c r="G60" s="38">
        <f>IF('VALE - MG'!AJ65="CONFORME ✓",0.5,0)</f>
        <v/>
      </c>
      <c r="H60" s="38">
        <f>SUM(A60:D60)</f>
        <v/>
      </c>
      <c r="I60" s="38">
        <f>SUM(E60:G60)</f>
        <v/>
      </c>
    </row>
    <row r="61">
      <c r="A61" s="38">
        <f>IF('VALE - MG'!L66="CONFORME ✓",2,0)</f>
        <v/>
      </c>
      <c r="B61" s="38">
        <f>IF('VALE - MG'!S66="CONFORME ✓",1,0)</f>
        <v/>
      </c>
      <c r="C61" s="38">
        <f>IF('VALE - MG'!Z66="CONFORME ✓",1,0)</f>
        <v/>
      </c>
      <c r="D61" s="38">
        <f>IF('VALE - MG'!AG66="CONFORME ✓",1,0)</f>
        <v/>
      </c>
      <c r="E61" s="38">
        <f>IF('VALE - MG'!AH66="CONFORME ✓",2.5,0)</f>
        <v/>
      </c>
      <c r="F61" s="38">
        <f>IF('VALE - MG'!AI66="CONFORME ✓",2,0)</f>
        <v/>
      </c>
      <c r="G61" s="38">
        <f>IF('VALE - MG'!AJ66="CONFORME ✓",0.5,0)</f>
        <v/>
      </c>
      <c r="H61" s="38">
        <f>SUM(A61:D61)</f>
        <v/>
      </c>
      <c r="I61" s="38">
        <f>SUM(E61:G61)</f>
        <v/>
      </c>
    </row>
    <row r="62">
      <c r="A62" s="38">
        <f>IF('VALE - MG'!L67="CONFORME ✓",2,0)</f>
        <v/>
      </c>
      <c r="B62" s="38">
        <f>IF('VALE - MG'!S67="CONFORME ✓",1,0)</f>
        <v/>
      </c>
      <c r="C62" s="38">
        <f>IF('VALE - MG'!Z67="CONFORME ✓",1,0)</f>
        <v/>
      </c>
      <c r="D62" s="38">
        <f>IF('VALE - MG'!AG67="CONFORME ✓",1,0)</f>
        <v/>
      </c>
      <c r="E62" s="38">
        <f>IF('VALE - MG'!AH67="CONFORME ✓",2.5,0)</f>
        <v/>
      </c>
      <c r="F62" s="38">
        <f>IF('VALE - MG'!AI67="CONFORME ✓",2,0)</f>
        <v/>
      </c>
      <c r="G62" s="38">
        <f>IF('VALE - MG'!AJ67="CONFORME ✓",0.5,0)</f>
        <v/>
      </c>
      <c r="H62" s="38">
        <f>SUM(A62:D62)</f>
        <v/>
      </c>
      <c r="I62" s="38">
        <f>SUM(E62:G62)</f>
        <v/>
      </c>
    </row>
    <row r="63">
      <c r="A63" s="38">
        <f>IF('VALE - MG'!L68="CONFORME ✓",2,0)</f>
        <v/>
      </c>
      <c r="B63" s="38">
        <f>IF('VALE - MG'!S68="CONFORME ✓",1,0)</f>
        <v/>
      </c>
      <c r="C63" s="38">
        <f>IF('VALE - MG'!Z68="CONFORME ✓",1,0)</f>
        <v/>
      </c>
      <c r="D63" s="38">
        <f>IF('VALE - MG'!AG68="CONFORME ✓",1,0)</f>
        <v/>
      </c>
      <c r="E63" s="38">
        <f>IF('VALE - MG'!AH68="CONFORME ✓",2.5,0)</f>
        <v/>
      </c>
      <c r="F63" s="38">
        <f>IF('VALE - MG'!AI68="CONFORME ✓",2,0)</f>
        <v/>
      </c>
      <c r="G63" s="38">
        <f>IF('VALE - MG'!AJ68="CONFORME ✓",0.5,0)</f>
        <v/>
      </c>
      <c r="H63" s="38">
        <f>SUM(A63:D63)</f>
        <v/>
      </c>
      <c r="I63" s="38">
        <f>SUM(E63:G63)</f>
        <v/>
      </c>
    </row>
    <row r="64">
      <c r="A64" s="38">
        <f>IF('VALE - MG'!L69="CONFORME ✓",2,0)</f>
        <v/>
      </c>
      <c r="B64" s="38">
        <f>IF('VALE - MG'!S69="CONFORME ✓",1,0)</f>
        <v/>
      </c>
      <c r="C64" s="38">
        <f>IF('VALE - MG'!Z69="CONFORME ✓",1,0)</f>
        <v/>
      </c>
      <c r="D64" s="38">
        <f>IF('VALE - MG'!AG69="CONFORME ✓",1,0)</f>
        <v/>
      </c>
      <c r="E64" s="38">
        <f>IF('VALE - MG'!AH69="CONFORME ✓",2.5,0)</f>
        <v/>
      </c>
      <c r="F64" s="38">
        <f>IF('VALE - MG'!AI69="CONFORME ✓",2,0)</f>
        <v/>
      </c>
      <c r="G64" s="38">
        <f>IF('VALE - MG'!AJ69="CONFORME ✓",0.5,0)</f>
        <v/>
      </c>
      <c r="H64" s="38">
        <f>SUM(A64:D64)</f>
        <v/>
      </c>
      <c r="I64" s="38">
        <f>SUM(E64:G64)</f>
        <v/>
      </c>
    </row>
    <row r="65">
      <c r="A65" s="38">
        <f>IF('VALE - MG'!L70="CONFORME ✓",2,0)</f>
        <v/>
      </c>
      <c r="B65" s="38">
        <f>IF('VALE - MG'!S70="CONFORME ✓",1,0)</f>
        <v/>
      </c>
      <c r="C65" s="38">
        <f>IF('VALE - MG'!Z70="CONFORME ✓",1,0)</f>
        <v/>
      </c>
      <c r="D65" s="38">
        <f>IF('VALE - MG'!AG70="CONFORME ✓",1,0)</f>
        <v/>
      </c>
      <c r="E65" s="38">
        <f>IF('VALE - MG'!AH70="CONFORME ✓",2.5,0)</f>
        <v/>
      </c>
      <c r="F65" s="38">
        <f>IF('VALE - MG'!AI70="CONFORME ✓",2,0)</f>
        <v/>
      </c>
      <c r="G65" s="38">
        <f>IF('VALE - MG'!AJ70="CONFORME ✓",0.5,0)</f>
        <v/>
      </c>
      <c r="H65" s="38">
        <f>SUM(A65:D65)</f>
        <v/>
      </c>
      <c r="I65" s="38">
        <f>SUM(E65:G65)</f>
        <v/>
      </c>
    </row>
    <row r="66">
      <c r="A66" s="38">
        <f>IF('VALE - MG'!L71="CONFORME ✓",2,0)</f>
        <v/>
      </c>
      <c r="B66" s="38">
        <f>IF('VALE - MG'!S71="CONFORME ✓",1,0)</f>
        <v/>
      </c>
      <c r="C66" s="38">
        <f>IF('VALE - MG'!Z71="CONFORME ✓",1,0)</f>
        <v/>
      </c>
      <c r="D66" s="38">
        <f>IF('VALE - MG'!AG71="CONFORME ✓",1,0)</f>
        <v/>
      </c>
      <c r="E66" s="38">
        <f>IF('VALE - MG'!AH71="CONFORME ✓",2.5,0)</f>
        <v/>
      </c>
      <c r="F66" s="38">
        <f>IF('VALE - MG'!AI71="CONFORME ✓",2,0)</f>
        <v/>
      </c>
      <c r="G66" s="38">
        <f>IF('VALE - MG'!AJ71="CONFORME ✓",0.5,0)</f>
        <v/>
      </c>
      <c r="H66" s="38">
        <f>SUM(A66:D66)</f>
        <v/>
      </c>
      <c r="I66" s="38">
        <f>SUM(E66:G66)</f>
        <v/>
      </c>
    </row>
    <row r="67">
      <c r="A67" s="38">
        <f>IF('VALE - MG'!L72="CONFORME ✓",2,0)</f>
        <v/>
      </c>
      <c r="B67" s="38">
        <f>IF('VALE - MG'!S72="CONFORME ✓",1,0)</f>
        <v/>
      </c>
      <c r="C67" s="38">
        <f>IF('VALE - MG'!Z72="CONFORME ✓",1,0)</f>
        <v/>
      </c>
      <c r="D67" s="38">
        <f>IF('VALE - MG'!AG72="CONFORME ✓",1,0)</f>
        <v/>
      </c>
      <c r="E67" s="38">
        <f>IF('VALE - MG'!AH72="CONFORME ✓",2.5,0)</f>
        <v/>
      </c>
      <c r="F67" s="38">
        <f>IF('VALE - MG'!AI72="CONFORME ✓",2,0)</f>
        <v/>
      </c>
      <c r="G67" s="38">
        <f>IF('VALE - MG'!AJ72="CONFORME ✓",0.5,0)</f>
        <v/>
      </c>
      <c r="H67" s="38">
        <f>SUM(A67:D67)</f>
        <v/>
      </c>
      <c r="I67" s="38">
        <f>SUM(E67:G67)</f>
        <v/>
      </c>
    </row>
    <row r="68">
      <c r="A68" s="38">
        <f>IF('VALE - MG'!L73="CONFORME ✓",2,0)</f>
        <v/>
      </c>
      <c r="B68" s="38">
        <f>IF('VALE - MG'!S73="CONFORME ✓",1,0)</f>
        <v/>
      </c>
      <c r="C68" s="38">
        <f>IF('VALE - MG'!Z73="CONFORME ✓",1,0)</f>
        <v/>
      </c>
      <c r="D68" s="38">
        <f>IF('VALE - MG'!AG73="CONFORME ✓",1,0)</f>
        <v/>
      </c>
      <c r="E68" s="38">
        <f>IF('VALE - MG'!AH73="CONFORME ✓",2.5,0)</f>
        <v/>
      </c>
      <c r="F68" s="38">
        <f>IF('VALE - MG'!AI73="CONFORME ✓",2,0)</f>
        <v/>
      </c>
      <c r="G68" s="38">
        <f>IF('VALE - MG'!AJ73="CONFORME ✓",0.5,0)</f>
        <v/>
      </c>
      <c r="H68" s="38">
        <f>SUM(A68:D68)</f>
        <v/>
      </c>
      <c r="I68" s="38">
        <f>SUM(E68:G68)</f>
        <v/>
      </c>
    </row>
    <row r="69">
      <c r="A69" s="38">
        <f>IF('VALE - MG'!L74="CONFORME ✓",2,0)</f>
        <v/>
      </c>
      <c r="B69" s="38">
        <f>IF('VALE - MG'!S74="CONFORME ✓",1,0)</f>
        <v/>
      </c>
      <c r="C69" s="38">
        <f>IF('VALE - MG'!Z74="CONFORME ✓",1,0)</f>
        <v/>
      </c>
      <c r="D69" s="38">
        <f>IF('VALE - MG'!AG74="CONFORME ✓",1,0)</f>
        <v/>
      </c>
      <c r="E69" s="38">
        <f>IF('VALE - MG'!AH74="CONFORME ✓",2.5,0)</f>
        <v/>
      </c>
      <c r="F69" s="38">
        <f>IF('VALE - MG'!AI74="CONFORME ✓",2,0)</f>
        <v/>
      </c>
      <c r="G69" s="38">
        <f>IF('VALE - MG'!AJ74="CONFORME ✓",0.5,0)</f>
        <v/>
      </c>
      <c r="H69" s="38">
        <f>SUM(A69:D69)</f>
        <v/>
      </c>
      <c r="I69" s="38">
        <f>SUM(E69:G69)</f>
        <v/>
      </c>
    </row>
    <row r="70">
      <c r="A70" s="38">
        <f>IF('VALE - MG'!L75="CONFORME ✓",2,0)</f>
        <v/>
      </c>
      <c r="B70" s="38">
        <f>IF('VALE - MG'!S75="CONFORME ✓",1,0)</f>
        <v/>
      </c>
      <c r="C70" s="38">
        <f>IF('VALE - MG'!Z75="CONFORME ✓",1,0)</f>
        <v/>
      </c>
      <c r="D70" s="38">
        <f>IF('VALE - MG'!AG75="CONFORME ✓",1,0)</f>
        <v/>
      </c>
      <c r="E70" s="38">
        <f>IF('VALE - MG'!AH75="CONFORME ✓",2.5,0)</f>
        <v/>
      </c>
      <c r="F70" s="38">
        <f>IF('VALE - MG'!AI75="CONFORME ✓",2,0)</f>
        <v/>
      </c>
      <c r="G70" s="38">
        <f>IF('VALE - MG'!AJ75="CONFORME ✓",0.5,0)</f>
        <v/>
      </c>
      <c r="H70" s="38">
        <f>SUM(A70:D70)</f>
        <v/>
      </c>
      <c r="I70" s="38">
        <f>SUM(E70:G70)</f>
        <v/>
      </c>
    </row>
    <row r="71">
      <c r="A71" s="38">
        <f>IF('VALE - MG'!L76="CONFORME ✓",2,0)</f>
        <v/>
      </c>
      <c r="B71" s="38">
        <f>IF('VALE - MG'!S76="CONFORME ✓",1,0)</f>
        <v/>
      </c>
      <c r="C71" s="38">
        <f>IF('VALE - MG'!Z76="CONFORME ✓",1,0)</f>
        <v/>
      </c>
      <c r="D71" s="38">
        <f>IF('VALE - MG'!AG76="CONFORME ✓",1,0)</f>
        <v/>
      </c>
      <c r="E71" s="38">
        <f>IF('VALE - MG'!AH76="CONFORME ✓",2.5,0)</f>
        <v/>
      </c>
      <c r="F71" s="38">
        <f>IF('VALE - MG'!AI76="CONFORME ✓",2,0)</f>
        <v/>
      </c>
      <c r="G71" s="38">
        <f>IF('VALE - MG'!AJ76="CONFORME ✓",0.5,0)</f>
        <v/>
      </c>
      <c r="H71" s="38">
        <f>SUM(A71:D71)</f>
        <v/>
      </c>
      <c r="I71" s="38">
        <f>SUM(E71:G71)</f>
        <v/>
      </c>
    </row>
    <row r="72">
      <c r="A72" s="38">
        <f>IF('VALE - MG'!L77="CONFORME ✓",2,0)</f>
        <v/>
      </c>
      <c r="B72" s="38">
        <f>IF('VALE - MG'!S77="CONFORME ✓",1,0)</f>
        <v/>
      </c>
      <c r="C72" s="38">
        <f>IF('VALE - MG'!Z77="CONFORME ✓",1,0)</f>
        <v/>
      </c>
      <c r="D72" s="38">
        <f>IF('VALE - MG'!AG77="CONFORME ✓",1,0)</f>
        <v/>
      </c>
      <c r="E72" s="38">
        <f>IF('VALE - MG'!AH77="CONFORME ✓",2.5,0)</f>
        <v/>
      </c>
      <c r="F72" s="38">
        <f>IF('VALE - MG'!AI77="CONFORME ✓",2,0)</f>
        <v/>
      </c>
      <c r="G72" s="38">
        <f>IF('VALE - MG'!AJ77="CONFORME ✓",0.5,0)</f>
        <v/>
      </c>
      <c r="H72" s="38">
        <f>SUM(A72:D72)</f>
        <v/>
      </c>
      <c r="I72" s="38">
        <f>SUM(E72:G72)</f>
        <v/>
      </c>
    </row>
    <row r="73">
      <c r="A73" s="38">
        <f>IF('VALE - MG'!L78="CONFORME ✓",2,0)</f>
        <v/>
      </c>
      <c r="B73" s="38">
        <f>IF('VALE - MG'!S78="CONFORME ✓",1,0)</f>
        <v/>
      </c>
      <c r="C73" s="38">
        <f>IF('VALE - MG'!Z78="CONFORME ✓",1,0)</f>
        <v/>
      </c>
      <c r="D73" s="38">
        <f>IF('VALE - MG'!AG78="CONFORME ✓",1,0)</f>
        <v/>
      </c>
      <c r="E73" s="38">
        <f>IF('VALE - MG'!AH78="CONFORME ✓",2.5,0)</f>
        <v/>
      </c>
      <c r="F73" s="38">
        <f>IF('VALE - MG'!AI78="CONFORME ✓",2,0)</f>
        <v/>
      </c>
      <c r="G73" s="38">
        <f>IF('VALE - MG'!AJ78="CONFORME ✓",0.5,0)</f>
        <v/>
      </c>
      <c r="H73" s="38">
        <f>SUM(A73:D73)</f>
        <v/>
      </c>
      <c r="I73" s="38">
        <f>SUM(E73:G73)</f>
        <v/>
      </c>
    </row>
    <row r="74">
      <c r="A74" s="38">
        <f>IF('VALE - MG'!L79="CONFORME ✓",2,0)</f>
        <v/>
      </c>
      <c r="B74" s="38">
        <f>IF('VALE - MG'!S79="CONFORME ✓",1,0)</f>
        <v/>
      </c>
      <c r="C74" s="38">
        <f>IF('VALE - MG'!Z79="CONFORME ✓",1,0)</f>
        <v/>
      </c>
      <c r="D74" s="38">
        <f>IF('VALE - MG'!AG79="CONFORME ✓",1,0)</f>
        <v/>
      </c>
      <c r="E74" s="38">
        <f>IF('VALE - MG'!AH79="CONFORME ✓",2.5,0)</f>
        <v/>
      </c>
      <c r="F74" s="38">
        <f>IF('VALE - MG'!AI79="CONFORME ✓",2,0)</f>
        <v/>
      </c>
      <c r="G74" s="38">
        <f>IF('VALE - MG'!AJ79="CONFORME ✓",0.5,0)</f>
        <v/>
      </c>
      <c r="H74" s="38">
        <f>SUM(A74:D74)</f>
        <v/>
      </c>
      <c r="I74" s="38">
        <f>SUM(E74:G74)</f>
        <v/>
      </c>
    </row>
    <row r="75">
      <c r="A75" s="38">
        <f>IF('VALE - MG'!L80="CONFORME ✓",2,0)</f>
        <v/>
      </c>
      <c r="B75" s="38">
        <f>IF('VALE - MG'!S80="CONFORME ✓",1,0)</f>
        <v/>
      </c>
      <c r="C75" s="38">
        <f>IF('VALE - MG'!Z80="CONFORME ✓",1,0)</f>
        <v/>
      </c>
      <c r="D75" s="38">
        <f>IF('VALE - MG'!AG80="CONFORME ✓",1,0)</f>
        <v/>
      </c>
      <c r="E75" s="38">
        <f>IF('VALE - MG'!AH80="CONFORME ✓",2.5,0)</f>
        <v/>
      </c>
      <c r="F75" s="38">
        <f>IF('VALE - MG'!AI80="CONFORME ✓",2,0)</f>
        <v/>
      </c>
      <c r="G75" s="38">
        <f>IF('VALE - MG'!AJ80="CONFORME ✓",0.5,0)</f>
        <v/>
      </c>
      <c r="H75" s="38">
        <f>SUM(A75:D75)</f>
        <v/>
      </c>
      <c r="I75" s="38">
        <f>SUM(E75:G75)</f>
        <v/>
      </c>
    </row>
    <row r="76">
      <c r="A76" s="38">
        <f>IF('VALE - MG'!L81="CONFORME ✓",2,0)</f>
        <v/>
      </c>
      <c r="B76" s="38">
        <f>IF('VALE - MG'!S81="CONFORME ✓",1,0)</f>
        <v/>
      </c>
      <c r="C76" s="38">
        <f>IF('VALE - MG'!Z81="CONFORME ✓",1,0)</f>
        <v/>
      </c>
      <c r="D76" s="38">
        <f>IF('VALE - MG'!AG81="CONFORME ✓",1,0)</f>
        <v/>
      </c>
      <c r="E76" s="38">
        <f>IF('VALE - MG'!AH81="CONFORME ✓",2.5,0)</f>
        <v/>
      </c>
      <c r="F76" s="38">
        <f>IF('VALE - MG'!AI81="CONFORME ✓",2,0)</f>
        <v/>
      </c>
      <c r="G76" s="38">
        <f>IF('VALE - MG'!AJ81="CONFORME ✓",0.5,0)</f>
        <v/>
      </c>
      <c r="H76" s="38">
        <f>SUM(A76:D76)</f>
        <v/>
      </c>
      <c r="I76" s="38">
        <f>SUM(E76:G76)</f>
        <v/>
      </c>
    </row>
    <row r="77">
      <c r="A77" s="38">
        <f>IF('VALE - MG'!L82="CONFORME ✓",2,0)</f>
        <v/>
      </c>
      <c r="B77" s="38">
        <f>IF('VALE - MG'!S82="CONFORME ✓",1,0)</f>
        <v/>
      </c>
      <c r="C77" s="38">
        <f>IF('VALE - MG'!Z82="CONFORME ✓",1,0)</f>
        <v/>
      </c>
      <c r="D77" s="38">
        <f>IF('VALE - MG'!AG82="CONFORME ✓",1,0)</f>
        <v/>
      </c>
      <c r="E77" s="38">
        <f>IF('VALE - MG'!AH82="CONFORME ✓",2.5,0)</f>
        <v/>
      </c>
      <c r="F77" s="38">
        <f>IF('VALE - MG'!AI82="CONFORME ✓",2,0)</f>
        <v/>
      </c>
      <c r="G77" s="38">
        <f>IF('VALE - MG'!AJ82="CONFORME ✓",0.5,0)</f>
        <v/>
      </c>
      <c r="H77" s="38">
        <f>SUM(A77:D77)</f>
        <v/>
      </c>
      <c r="I77" s="38">
        <f>SUM(E77:G77)</f>
        <v/>
      </c>
    </row>
    <row r="78">
      <c r="A78" s="38">
        <f>IF('VALE - MG'!L83="CONFORME ✓",2,0)</f>
        <v/>
      </c>
      <c r="B78" s="38">
        <f>IF('VALE - MG'!S83="CONFORME ✓",1,0)</f>
        <v/>
      </c>
      <c r="C78" s="38">
        <f>IF('VALE - MG'!Z83="CONFORME ✓",1,0)</f>
        <v/>
      </c>
      <c r="D78" s="38">
        <f>IF('VALE - MG'!AG83="CONFORME ✓",1,0)</f>
        <v/>
      </c>
      <c r="E78" s="38">
        <f>IF('VALE - MG'!AH83="CONFORME ✓",2.5,0)</f>
        <v/>
      </c>
      <c r="F78" s="38">
        <f>IF('VALE - MG'!AI83="CONFORME ✓",2,0)</f>
        <v/>
      </c>
      <c r="G78" s="38">
        <f>IF('VALE - MG'!AJ83="CONFORME ✓",0.5,0)</f>
        <v/>
      </c>
      <c r="H78" s="38">
        <f>SUM(A78:D78)</f>
        <v/>
      </c>
      <c r="I78" s="38">
        <f>SUM(E78:G78)</f>
        <v/>
      </c>
    </row>
    <row r="79">
      <c r="A79" s="38">
        <f>IF('VALE - MG'!L84="CONFORME ✓",2,0)</f>
        <v/>
      </c>
      <c r="B79" s="38">
        <f>IF('VALE - MG'!S84="CONFORME ✓",1,0)</f>
        <v/>
      </c>
      <c r="C79" s="38">
        <f>IF('VALE - MG'!Z84="CONFORME ✓",1,0)</f>
        <v/>
      </c>
      <c r="D79" s="38">
        <f>IF('VALE - MG'!AG84="CONFORME ✓",1,0)</f>
        <v/>
      </c>
      <c r="E79" s="38">
        <f>IF('VALE - MG'!AH84="CONFORME ✓",2.5,0)</f>
        <v/>
      </c>
      <c r="F79" s="38">
        <f>IF('VALE - MG'!AI84="CONFORME ✓",2,0)</f>
        <v/>
      </c>
      <c r="G79" s="38">
        <f>IF('VALE - MG'!AJ84="CONFORME ✓",0.5,0)</f>
        <v/>
      </c>
      <c r="H79" s="38">
        <f>SUM(A79:D79)</f>
        <v/>
      </c>
      <c r="I79" s="38">
        <f>SUM(E79:G79)</f>
        <v/>
      </c>
    </row>
    <row r="80">
      <c r="A80" s="38">
        <f>IF('VALE - MG'!L85="CONFORME ✓",2,0)</f>
        <v/>
      </c>
      <c r="B80" s="38">
        <f>IF('VALE - MG'!S85="CONFORME ✓",1,0)</f>
        <v/>
      </c>
      <c r="C80" s="38">
        <f>IF('VALE - MG'!Z85="CONFORME ✓",1,0)</f>
        <v/>
      </c>
      <c r="D80" s="38">
        <f>IF('VALE - MG'!AG85="CONFORME ✓",1,0)</f>
        <v/>
      </c>
      <c r="E80" s="38">
        <f>IF('VALE - MG'!AH85="CONFORME ✓",2.5,0)</f>
        <v/>
      </c>
      <c r="F80" s="38">
        <f>IF('VALE - MG'!AI85="CONFORME ✓",2,0)</f>
        <v/>
      </c>
      <c r="G80" s="38">
        <f>IF('VALE - MG'!AJ85="CONFORME ✓",0.5,0)</f>
        <v/>
      </c>
      <c r="H80" s="38">
        <f>SUM(A80:D80)</f>
        <v/>
      </c>
      <c r="I80" s="38">
        <f>SUM(E80:G80)</f>
        <v/>
      </c>
    </row>
    <row r="81">
      <c r="A81" s="38">
        <f>IF('VALE - MG'!L86="CONFORME ✓",2,0)</f>
        <v/>
      </c>
      <c r="B81" s="38">
        <f>IF('VALE - MG'!S86="CONFORME ✓",1,0)</f>
        <v/>
      </c>
      <c r="C81" s="38">
        <f>IF('VALE - MG'!Z86="CONFORME ✓",1,0)</f>
        <v/>
      </c>
      <c r="D81" s="38">
        <f>IF('VALE - MG'!AG86="CONFORME ✓",1,0)</f>
        <v/>
      </c>
      <c r="E81" s="38">
        <f>IF('VALE - MG'!AH86="CONFORME ✓",2.5,0)</f>
        <v/>
      </c>
      <c r="F81" s="38">
        <f>IF('VALE - MG'!AI86="CONFORME ✓",2,0)</f>
        <v/>
      </c>
      <c r="G81" s="38">
        <f>IF('VALE - MG'!AJ86="CONFORME ✓",0.5,0)</f>
        <v/>
      </c>
      <c r="H81" s="38">
        <f>SUM(A81:D81)</f>
        <v/>
      </c>
      <c r="I81" s="38">
        <f>SUM(E81:G81)</f>
        <v/>
      </c>
    </row>
    <row r="82">
      <c r="A82" s="38">
        <f>IF('VALE - MG'!L87="CONFORME ✓",2,0)</f>
        <v/>
      </c>
      <c r="B82" s="38">
        <f>IF('VALE - MG'!S87="CONFORME ✓",1,0)</f>
        <v/>
      </c>
      <c r="C82" s="38">
        <f>IF('VALE - MG'!Z87="CONFORME ✓",1,0)</f>
        <v/>
      </c>
      <c r="D82" s="38">
        <f>IF('VALE - MG'!AG87="CONFORME ✓",1,0)</f>
        <v/>
      </c>
      <c r="E82" s="38">
        <f>IF('VALE - MG'!AH87="CONFORME ✓",2.5,0)</f>
        <v/>
      </c>
      <c r="F82" s="38">
        <f>IF('VALE - MG'!AI87="CONFORME ✓",2,0)</f>
        <v/>
      </c>
      <c r="G82" s="38">
        <f>IF('VALE - MG'!AJ87="CONFORME ✓",0.5,0)</f>
        <v/>
      </c>
      <c r="H82" s="38">
        <f>SUM(A82:D82)</f>
        <v/>
      </c>
      <c r="I82" s="38">
        <f>SUM(E82:G82)</f>
        <v/>
      </c>
    </row>
    <row r="83">
      <c r="A83" s="38">
        <f>IF('VALE - MG'!L88="CONFORME ✓",2,0)</f>
        <v/>
      </c>
      <c r="B83" s="38">
        <f>IF('VALE - MG'!S88="CONFORME ✓",1,0)</f>
        <v/>
      </c>
      <c r="C83" s="38">
        <f>IF('VALE - MG'!Z88="CONFORME ✓",1,0)</f>
        <v/>
      </c>
      <c r="D83" s="38">
        <f>IF('VALE - MG'!AG88="CONFORME ✓",1,0)</f>
        <v/>
      </c>
      <c r="E83" s="38">
        <f>IF('VALE - MG'!AH88="CONFORME ✓",2.5,0)</f>
        <v/>
      </c>
      <c r="F83" s="38">
        <f>IF('VALE - MG'!AI88="CONFORME ✓",2,0)</f>
        <v/>
      </c>
      <c r="G83" s="38">
        <f>IF('VALE - MG'!AJ88="CONFORME ✓",0.5,0)</f>
        <v/>
      </c>
      <c r="H83" s="38">
        <f>SUM(A83:D83)</f>
        <v/>
      </c>
      <c r="I83" s="38">
        <f>SUM(E83:G83)</f>
        <v/>
      </c>
    </row>
    <row r="84">
      <c r="A84" s="38">
        <f>IF('VALE - MG'!L89="CONFORME ✓",2,0)</f>
        <v/>
      </c>
      <c r="B84" s="38">
        <f>IF('VALE - MG'!S89="CONFORME ✓",1,0)</f>
        <v/>
      </c>
      <c r="C84" s="38">
        <f>IF('VALE - MG'!Z89="CONFORME ✓",1,0)</f>
        <v/>
      </c>
      <c r="D84" s="38">
        <f>IF('VALE - MG'!AG89="CONFORME ✓",1,0)</f>
        <v/>
      </c>
      <c r="E84" s="38">
        <f>IF('VALE - MG'!AH89="CONFORME ✓",2.5,0)</f>
        <v/>
      </c>
      <c r="F84" s="38">
        <f>IF('VALE - MG'!AI89="CONFORME ✓",2,0)</f>
        <v/>
      </c>
      <c r="G84" s="38">
        <f>IF('VALE - MG'!AJ89="CONFORME ✓",0.5,0)</f>
        <v/>
      </c>
      <c r="H84" s="38">
        <f>SUM(A84:D84)</f>
        <v/>
      </c>
      <c r="I84" s="38">
        <f>SUM(E84:G84)</f>
        <v/>
      </c>
    </row>
    <row r="85">
      <c r="A85" s="38">
        <f>IF('VALE - MG'!L90="CONFORME ✓",2,0)</f>
        <v/>
      </c>
      <c r="B85" s="38">
        <f>IF('VALE - MG'!S90="CONFORME ✓",1,0)</f>
        <v/>
      </c>
      <c r="C85" s="38">
        <f>IF('VALE - MG'!Z90="CONFORME ✓",1,0)</f>
        <v/>
      </c>
      <c r="D85" s="38">
        <f>IF('VALE - MG'!AG90="CONFORME ✓",1,0)</f>
        <v/>
      </c>
      <c r="E85" s="38">
        <f>IF('VALE - MG'!AH90="CONFORME ✓",2.5,0)</f>
        <v/>
      </c>
      <c r="F85" s="38">
        <f>IF('VALE - MG'!AI90="CONFORME ✓",2,0)</f>
        <v/>
      </c>
      <c r="G85" s="38">
        <f>IF('VALE - MG'!AJ90="CONFORME ✓",0.5,0)</f>
        <v/>
      </c>
      <c r="H85" s="38">
        <f>SUM(A85:D85)</f>
        <v/>
      </c>
      <c r="I85" s="38">
        <f>SUM(E85:G85)</f>
        <v/>
      </c>
    </row>
    <row r="86">
      <c r="A86" s="38">
        <f>IF('VALE - MG'!L91="CONFORME ✓",2,0)</f>
        <v/>
      </c>
      <c r="B86" s="38">
        <f>IF('VALE - MG'!S91="CONFORME ✓",1,0)</f>
        <v/>
      </c>
      <c r="C86" s="38">
        <f>IF('VALE - MG'!Z91="CONFORME ✓",1,0)</f>
        <v/>
      </c>
      <c r="D86" s="38">
        <f>IF('VALE - MG'!AG91="CONFORME ✓",1,0)</f>
        <v/>
      </c>
      <c r="E86" s="38">
        <f>IF('VALE - MG'!AH91="CONFORME ✓",2.5,0)</f>
        <v/>
      </c>
      <c r="F86" s="38">
        <f>IF('VALE - MG'!AI91="CONFORME ✓",2,0)</f>
        <v/>
      </c>
      <c r="G86" s="38">
        <f>IF('VALE - MG'!AJ91="CONFORME ✓",0.5,0)</f>
        <v/>
      </c>
      <c r="H86" s="38">
        <f>SUM(A86:D86)</f>
        <v/>
      </c>
      <c r="I86" s="38">
        <f>SUM(E86:G86)</f>
        <v/>
      </c>
    </row>
    <row r="87">
      <c r="A87" s="38">
        <f>IF('VALE - MG'!L92="CONFORME ✓",2,0)</f>
        <v/>
      </c>
      <c r="B87" s="38">
        <f>IF('VALE - MG'!S92="CONFORME ✓",1,0)</f>
        <v/>
      </c>
      <c r="C87" s="38">
        <f>IF('VALE - MG'!Z92="CONFORME ✓",1,0)</f>
        <v/>
      </c>
      <c r="D87" s="38">
        <f>IF('VALE - MG'!AG92="CONFORME ✓",1,0)</f>
        <v/>
      </c>
      <c r="E87" s="38">
        <f>IF('VALE - MG'!AH92="CONFORME ✓",2.5,0)</f>
        <v/>
      </c>
      <c r="F87" s="38">
        <f>IF('VALE - MG'!AI92="CONFORME ✓",2,0)</f>
        <v/>
      </c>
      <c r="G87" s="38">
        <f>IF('VALE - MG'!AJ92="CONFORME ✓",0.5,0)</f>
        <v/>
      </c>
      <c r="H87" s="38">
        <f>SUM(A87:D87)</f>
        <v/>
      </c>
      <c r="I87" s="38">
        <f>SUM(E87:G87)</f>
        <v/>
      </c>
    </row>
    <row r="88">
      <c r="A88" s="38">
        <f>IF('VALE - MG'!L93="CONFORME ✓",2,0)</f>
        <v/>
      </c>
      <c r="B88" s="38">
        <f>IF('VALE - MG'!S93="CONFORME ✓",1,0)</f>
        <v/>
      </c>
      <c r="C88" s="38">
        <f>IF('VALE - MG'!Z93="CONFORME ✓",1,0)</f>
        <v/>
      </c>
      <c r="D88" s="38">
        <f>IF('VALE - MG'!AG93="CONFORME ✓",1,0)</f>
        <v/>
      </c>
      <c r="E88" s="38">
        <f>IF('VALE - MG'!AH93="CONFORME ✓",2.5,0)</f>
        <v/>
      </c>
      <c r="F88" s="38">
        <f>IF('VALE - MG'!AI93="CONFORME ✓",2,0)</f>
        <v/>
      </c>
      <c r="G88" s="38">
        <f>IF('VALE - MG'!AJ93="CONFORME ✓",0.5,0)</f>
        <v/>
      </c>
      <c r="H88" s="38">
        <f>SUM(A88:D88)</f>
        <v/>
      </c>
      <c r="I88" s="38">
        <f>SUM(E88:G88)</f>
        <v/>
      </c>
    </row>
    <row r="89">
      <c r="A89" s="38">
        <f>IF('VALE - MG'!L94="CONFORME ✓",2,0)</f>
        <v/>
      </c>
      <c r="B89" s="38">
        <f>IF('VALE - MG'!S94="CONFORME ✓",1,0)</f>
        <v/>
      </c>
      <c r="C89" s="38">
        <f>IF('VALE - MG'!Z94="CONFORME ✓",1,0)</f>
        <v/>
      </c>
      <c r="D89" s="38">
        <f>IF('VALE - MG'!AG94="CONFORME ✓",1,0)</f>
        <v/>
      </c>
      <c r="E89" s="38">
        <f>IF('VALE - MG'!AH94="CONFORME ✓",2.5,0)</f>
        <v/>
      </c>
      <c r="F89" s="38">
        <f>IF('VALE - MG'!AI94="CONFORME ✓",2,0)</f>
        <v/>
      </c>
      <c r="G89" s="38">
        <f>IF('VALE - MG'!AJ94="CONFORME ✓",0.5,0)</f>
        <v/>
      </c>
      <c r="H89" s="38">
        <f>SUM(A89:D89)</f>
        <v/>
      </c>
      <c r="I89" s="38">
        <f>SUM(E89:G89)</f>
        <v/>
      </c>
    </row>
    <row r="90">
      <c r="A90" s="38">
        <f>IF('VALE - MG'!L95="CONFORME ✓",2,0)</f>
        <v/>
      </c>
      <c r="B90" s="38">
        <f>IF('VALE - MG'!S95="CONFORME ✓",1,0)</f>
        <v/>
      </c>
      <c r="C90" s="38">
        <f>IF('VALE - MG'!Z95="CONFORME ✓",1,0)</f>
        <v/>
      </c>
      <c r="D90" s="38">
        <f>IF('VALE - MG'!AG95="CONFORME ✓",1,0)</f>
        <v/>
      </c>
      <c r="E90" s="38">
        <f>IF('VALE - MG'!AH95="CONFORME ✓",2.5,0)</f>
        <v/>
      </c>
      <c r="F90" s="38">
        <f>IF('VALE - MG'!AI95="CONFORME ✓",2,0)</f>
        <v/>
      </c>
      <c r="G90" s="38">
        <f>IF('VALE - MG'!AJ95="CONFORME ✓",0.5,0)</f>
        <v/>
      </c>
      <c r="H90" s="38">
        <f>SUM(A90:D90)</f>
        <v/>
      </c>
      <c r="I90" s="38">
        <f>SUM(E90:G90)</f>
        <v/>
      </c>
    </row>
    <row r="91">
      <c r="A91" s="38">
        <f>IF('VALE - MG'!L96="CONFORME ✓",2,0)</f>
        <v/>
      </c>
      <c r="B91" s="38">
        <f>IF('VALE - MG'!S96="CONFORME ✓",1,0)</f>
        <v/>
      </c>
      <c r="C91" s="38">
        <f>IF('VALE - MG'!Z96="CONFORME ✓",1,0)</f>
        <v/>
      </c>
      <c r="D91" s="38">
        <f>IF('VALE - MG'!AG96="CONFORME ✓",1,0)</f>
        <v/>
      </c>
      <c r="E91" s="38">
        <f>IF('VALE - MG'!AH96="CONFORME ✓",2.5,0)</f>
        <v/>
      </c>
      <c r="F91" s="38">
        <f>IF('VALE - MG'!AI96="CONFORME ✓",2,0)</f>
        <v/>
      </c>
      <c r="G91" s="38">
        <f>IF('VALE - MG'!AJ96="CONFORME ✓",0.5,0)</f>
        <v/>
      </c>
      <c r="H91" s="38">
        <f>SUM(A91:D91)</f>
        <v/>
      </c>
      <c r="I91" s="38">
        <f>SUM(E91:G91)</f>
        <v/>
      </c>
    </row>
    <row r="92">
      <c r="A92" s="38">
        <f>IF('VALE - MG'!L97="CONFORME ✓",2,0)</f>
        <v/>
      </c>
      <c r="B92" s="38">
        <f>IF('VALE - MG'!S97="CONFORME ✓",1,0)</f>
        <v/>
      </c>
      <c r="C92" s="38">
        <f>IF('VALE - MG'!Z97="CONFORME ✓",1,0)</f>
        <v/>
      </c>
      <c r="D92" s="38">
        <f>IF('VALE - MG'!AG97="CONFORME ✓",1,0)</f>
        <v/>
      </c>
      <c r="E92" s="38">
        <f>IF('VALE - MG'!AH97="CONFORME ✓",2.5,0)</f>
        <v/>
      </c>
      <c r="F92" s="38">
        <f>IF('VALE - MG'!AI97="CONFORME ✓",2,0)</f>
        <v/>
      </c>
      <c r="G92" s="38">
        <f>IF('VALE - MG'!AJ97="CONFORME ✓",0.5,0)</f>
        <v/>
      </c>
      <c r="H92" s="38">
        <f>SUM(A92:D92)</f>
        <v/>
      </c>
      <c r="I92" s="38">
        <f>SUM(E92:G92)</f>
        <v/>
      </c>
    </row>
    <row r="93">
      <c r="A93" s="38">
        <f>IF('VALE - MG'!L98="CONFORME ✓",2,0)</f>
        <v/>
      </c>
      <c r="B93" s="38">
        <f>IF('VALE - MG'!S98="CONFORME ✓",1,0)</f>
        <v/>
      </c>
      <c r="C93" s="38">
        <f>IF('VALE - MG'!Z98="CONFORME ✓",1,0)</f>
        <v/>
      </c>
      <c r="D93" s="38">
        <f>IF('VALE - MG'!AG98="CONFORME ✓",1,0)</f>
        <v/>
      </c>
      <c r="E93" s="38">
        <f>IF('VALE - MG'!AH98="CONFORME ✓",2.5,0)</f>
        <v/>
      </c>
      <c r="F93" s="38">
        <f>IF('VALE - MG'!AI98="CONFORME ✓",2,0)</f>
        <v/>
      </c>
      <c r="G93" s="38">
        <f>IF('VALE - MG'!AJ98="CONFORME ✓",0.5,0)</f>
        <v/>
      </c>
      <c r="H93" s="38">
        <f>SUM(A93:D93)</f>
        <v/>
      </c>
      <c r="I93" s="38">
        <f>SUM(E93:G93)</f>
        <v/>
      </c>
    </row>
    <row r="94">
      <c r="A94" s="38">
        <f>IF('VALE - MG'!L99="CONFORME ✓",2,0)</f>
        <v/>
      </c>
      <c r="B94" s="38">
        <f>IF('VALE - MG'!S99="CONFORME ✓",1,0)</f>
        <v/>
      </c>
      <c r="C94" s="38">
        <f>IF('VALE - MG'!Z99="CONFORME ✓",1,0)</f>
        <v/>
      </c>
      <c r="D94" s="38">
        <f>IF('VALE - MG'!AG99="CONFORME ✓",1,0)</f>
        <v/>
      </c>
      <c r="E94" s="38">
        <f>IF('VALE - MG'!AH99="CONFORME ✓",2.5,0)</f>
        <v/>
      </c>
      <c r="F94" s="38">
        <f>IF('VALE - MG'!AI99="CONFORME ✓",2,0)</f>
        <v/>
      </c>
      <c r="G94" s="38">
        <f>IF('VALE - MG'!AJ99="CONFORME ✓",0.5,0)</f>
        <v/>
      </c>
      <c r="H94" s="38">
        <f>SUM(A94:D94)</f>
        <v/>
      </c>
      <c r="I94" s="38">
        <f>SUM(E94:G94)</f>
        <v/>
      </c>
    </row>
    <row r="95">
      <c r="A95" s="38">
        <f>IF('VALE - MG'!L100="CONFORME ✓",2,0)</f>
        <v/>
      </c>
      <c r="B95" s="38">
        <f>IF('VALE - MG'!S100="CONFORME ✓",1,0)</f>
        <v/>
      </c>
      <c r="C95" s="38">
        <f>IF('VALE - MG'!Z100="CONFORME ✓",1,0)</f>
        <v/>
      </c>
      <c r="D95" s="38">
        <f>IF('VALE - MG'!AG100="CONFORME ✓",1,0)</f>
        <v/>
      </c>
      <c r="E95" s="38">
        <f>IF('VALE - MG'!AH100="CONFORME ✓",2.5,0)</f>
        <v/>
      </c>
      <c r="F95" s="38">
        <f>IF('VALE - MG'!AI100="CONFORME ✓",2,0)</f>
        <v/>
      </c>
      <c r="G95" s="38">
        <f>IF('VALE - MG'!AJ100="CONFORME ✓",0.5,0)</f>
        <v/>
      </c>
      <c r="H95" s="38">
        <f>SUM(A95:D95)</f>
        <v/>
      </c>
      <c r="I95" s="38">
        <f>SUM(E95:G95)</f>
        <v/>
      </c>
    </row>
    <row r="96">
      <c r="A96" s="38">
        <f>IF('VALE - MG'!L101="CONFORME ✓",2,0)</f>
        <v/>
      </c>
      <c r="B96" s="38">
        <f>IF('VALE - MG'!S101="CONFORME ✓",1,0)</f>
        <v/>
      </c>
      <c r="C96" s="38">
        <f>IF('VALE - MG'!Z101="CONFORME ✓",1,0)</f>
        <v/>
      </c>
      <c r="D96" s="38">
        <f>IF('VALE - MG'!AG101="CONFORME ✓",1,0)</f>
        <v/>
      </c>
      <c r="E96" s="38">
        <f>IF('VALE - MG'!AH101="CONFORME ✓",2.5,0)</f>
        <v/>
      </c>
      <c r="F96" s="38">
        <f>IF('VALE - MG'!AI101="CONFORME ✓",2,0)</f>
        <v/>
      </c>
      <c r="G96" s="38">
        <f>IF('VALE - MG'!AJ101="CONFORME ✓",0.5,0)</f>
        <v/>
      </c>
      <c r="H96" s="38">
        <f>SUM(A96:D96)</f>
        <v/>
      </c>
      <c r="I96" s="38">
        <f>SUM(E96:G96)</f>
        <v/>
      </c>
    </row>
    <row r="97">
      <c r="A97" s="38">
        <f>IF('VALE - MG'!L102="CONFORME ✓",2,0)</f>
        <v/>
      </c>
      <c r="B97" s="38">
        <f>IF('VALE - MG'!S102="CONFORME ✓",1,0)</f>
        <v/>
      </c>
      <c r="C97" s="38">
        <f>IF('VALE - MG'!Z102="CONFORME ✓",1,0)</f>
        <v/>
      </c>
      <c r="D97" s="38">
        <f>IF('VALE - MG'!AG102="CONFORME ✓",1,0)</f>
        <v/>
      </c>
      <c r="E97" s="38">
        <f>IF('VALE - MG'!AH102="CONFORME ✓",2.5,0)</f>
        <v/>
      </c>
      <c r="F97" s="38">
        <f>IF('VALE - MG'!AI102="CONFORME ✓",2,0)</f>
        <v/>
      </c>
      <c r="G97" s="38">
        <f>IF('VALE - MG'!AJ102="CONFORME ✓",0.5,0)</f>
        <v/>
      </c>
      <c r="H97" s="38">
        <f>SUM(A97:D97)</f>
        <v/>
      </c>
      <c r="I97" s="38">
        <f>SUM(E97:G97)</f>
        <v/>
      </c>
    </row>
    <row r="98">
      <c r="A98" s="38">
        <f>IF('VALE - MG'!L103="CONFORME ✓",2,0)</f>
        <v/>
      </c>
      <c r="B98" s="38">
        <f>IF('VALE - MG'!S103="CONFORME ✓",1,0)</f>
        <v/>
      </c>
      <c r="C98" s="38">
        <f>IF('VALE - MG'!Z103="CONFORME ✓",1,0)</f>
        <v/>
      </c>
      <c r="D98" s="38">
        <f>IF('VALE - MG'!AG103="CONFORME ✓",1,0)</f>
        <v/>
      </c>
      <c r="E98" s="38">
        <f>IF('VALE - MG'!AH103="CONFORME ✓",2.5,0)</f>
        <v/>
      </c>
      <c r="F98" s="38">
        <f>IF('VALE - MG'!AI103="CONFORME ✓",2,0)</f>
        <v/>
      </c>
      <c r="G98" s="38">
        <f>IF('VALE - MG'!AJ103="CONFORME ✓",0.5,0)</f>
        <v/>
      </c>
      <c r="H98" s="38">
        <f>SUM(A98:D98)</f>
        <v/>
      </c>
      <c r="I98" s="38">
        <f>SUM(E98:G98)</f>
        <v/>
      </c>
    </row>
    <row r="99">
      <c r="A99" s="38">
        <f>IF('VALE - MG'!L104="CONFORME ✓",2,0)</f>
        <v/>
      </c>
      <c r="B99" s="38">
        <f>IF('VALE - MG'!S104="CONFORME ✓",1,0)</f>
        <v/>
      </c>
      <c r="C99" s="38">
        <f>IF('VALE - MG'!Z104="CONFORME ✓",1,0)</f>
        <v/>
      </c>
      <c r="D99" s="38">
        <f>IF('VALE - MG'!AG104="CONFORME ✓",1,0)</f>
        <v/>
      </c>
      <c r="E99" s="38">
        <f>IF('VALE - MG'!AH104="CONFORME ✓",2.5,0)</f>
        <v/>
      </c>
      <c r="F99" s="38">
        <f>IF('VALE - MG'!AI104="CONFORME ✓",2,0)</f>
        <v/>
      </c>
      <c r="G99" s="38">
        <f>IF('VALE - MG'!AJ104="CONFORME ✓",0.5,0)</f>
        <v/>
      </c>
      <c r="H99" s="38">
        <f>SUM(A99:D99)</f>
        <v/>
      </c>
      <c r="I99" s="38">
        <f>SUM(E99:G99)</f>
        <v/>
      </c>
    </row>
    <row r="100">
      <c r="A100" s="38">
        <f>IF('VALE - MG'!L105="CONFORME ✓",2,0)</f>
        <v/>
      </c>
      <c r="B100" s="38">
        <f>IF('VALE - MG'!S105="CONFORME ✓",1,0)</f>
        <v/>
      </c>
      <c r="C100" s="38">
        <f>IF('VALE - MG'!Z105="CONFORME ✓",1,0)</f>
        <v/>
      </c>
      <c r="D100" s="38">
        <f>IF('VALE - MG'!AG105="CONFORME ✓",1,0)</f>
        <v/>
      </c>
      <c r="E100" s="38">
        <f>IF('VALE - MG'!AH105="CONFORME ✓",2.5,0)</f>
        <v/>
      </c>
      <c r="F100" s="38">
        <f>IF('VALE - MG'!AI105="CONFORME ✓",2,0)</f>
        <v/>
      </c>
      <c r="G100" s="38">
        <f>IF('VALE - MG'!AJ105="CONFORME ✓",0.5,0)</f>
        <v/>
      </c>
      <c r="H100" s="38">
        <f>SUM(A100:D100)</f>
        <v/>
      </c>
      <c r="I100" s="38">
        <f>SUM(E100:G100)</f>
        <v/>
      </c>
    </row>
    <row r="101">
      <c r="A101" s="38">
        <f>IF('VALE - MG'!L106="CONFORME ✓",2,0)</f>
        <v/>
      </c>
      <c r="B101" s="38">
        <f>IF('VALE - MG'!S106="CONFORME ✓",1,0)</f>
        <v/>
      </c>
      <c r="C101" s="38">
        <f>IF('VALE - MG'!Z106="CONFORME ✓",1,0)</f>
        <v/>
      </c>
      <c r="D101" s="38">
        <f>IF('VALE - MG'!AG106="CONFORME ✓",1,0)</f>
        <v/>
      </c>
      <c r="E101" s="38">
        <f>IF('VALE - MG'!AH106="CONFORME ✓",2.5,0)</f>
        <v/>
      </c>
      <c r="F101" s="38">
        <f>IF('VALE - MG'!AI106="CONFORME ✓",2,0)</f>
        <v/>
      </c>
      <c r="G101" s="38">
        <f>IF('VALE - MG'!AJ106="CONFORME ✓",0.5,0)</f>
        <v/>
      </c>
      <c r="H101" s="38">
        <f>SUM(A101:D101)</f>
        <v/>
      </c>
      <c r="I101" s="38">
        <f>SUM(E101:G101)</f>
        <v/>
      </c>
    </row>
    <row r="102">
      <c r="A102" s="38">
        <f>IF('VALE - MG'!L107="CONFORME ✓",2,0)</f>
        <v/>
      </c>
      <c r="B102" s="38">
        <f>IF('VALE - MG'!S107="CONFORME ✓",1,0)</f>
        <v/>
      </c>
      <c r="C102" s="38">
        <f>IF('VALE - MG'!Z107="CONFORME ✓",1,0)</f>
        <v/>
      </c>
      <c r="D102" s="38">
        <f>IF('VALE - MG'!AG107="CONFORME ✓",1,0)</f>
        <v/>
      </c>
      <c r="E102" s="38">
        <f>IF('VALE - MG'!AH107="CONFORME ✓",2.5,0)</f>
        <v/>
      </c>
      <c r="F102" s="38">
        <f>IF('VALE - MG'!AI107="CONFORME ✓",2,0)</f>
        <v/>
      </c>
      <c r="G102" s="38">
        <f>IF('VALE - MG'!AJ107="CONFORME ✓",0.5,0)</f>
        <v/>
      </c>
      <c r="H102" s="38">
        <f>SUM(A102:D102)</f>
        <v/>
      </c>
      <c r="I102" s="38">
        <f>SUM(E102:G102)</f>
        <v/>
      </c>
    </row>
    <row r="103">
      <c r="A103" s="38">
        <f>IF('VALE - MG'!L108="CONFORME ✓",2,0)</f>
        <v/>
      </c>
      <c r="B103" s="38">
        <f>IF('VALE - MG'!S108="CONFORME ✓",1,0)</f>
        <v/>
      </c>
      <c r="C103" s="38">
        <f>IF('VALE - MG'!Z108="CONFORME ✓",1,0)</f>
        <v/>
      </c>
      <c r="D103" s="38">
        <f>IF('VALE - MG'!AG108="CONFORME ✓",1,0)</f>
        <v/>
      </c>
      <c r="E103" s="38">
        <f>IF('VALE - MG'!AH108="CONFORME ✓",2.5,0)</f>
        <v/>
      </c>
      <c r="F103" s="38">
        <f>IF('VALE - MG'!AI108="CONFORME ✓",2,0)</f>
        <v/>
      </c>
      <c r="G103" s="38">
        <f>IF('VALE - MG'!AJ108="CONFORME ✓",0.5,0)</f>
        <v/>
      </c>
      <c r="H103" s="38">
        <f>SUM(A103:D103)</f>
        <v/>
      </c>
      <c r="I103" s="38">
        <f>SUM(E103:G103)</f>
        <v/>
      </c>
    </row>
    <row r="104">
      <c r="A104" s="38">
        <f>IF('VALE - MG'!L109="CONFORME ✓",2,0)</f>
        <v/>
      </c>
      <c r="B104" s="38">
        <f>IF('VALE - MG'!S109="CONFORME ✓",1,0)</f>
        <v/>
      </c>
      <c r="C104" s="38">
        <f>IF('VALE - MG'!Z109="CONFORME ✓",1,0)</f>
        <v/>
      </c>
      <c r="D104" s="38">
        <f>IF('VALE - MG'!AG109="CONFORME ✓",1,0)</f>
        <v/>
      </c>
      <c r="E104" s="38">
        <f>IF('VALE - MG'!AH109="CONFORME ✓",2.5,0)</f>
        <v/>
      </c>
      <c r="F104" s="38">
        <f>IF('VALE - MG'!AI109="CONFORME ✓",2,0)</f>
        <v/>
      </c>
      <c r="G104" s="38">
        <f>IF('VALE - MG'!AJ109="CONFORME ✓",0.5,0)</f>
        <v/>
      </c>
      <c r="H104" s="38">
        <f>SUM(A104:D104)</f>
        <v/>
      </c>
      <c r="I104" s="38">
        <f>SUM(E104:G104)</f>
        <v/>
      </c>
    </row>
    <row r="105">
      <c r="A105" s="38">
        <f>IF('VALE - MG'!L110="CONFORME ✓",2,0)</f>
        <v/>
      </c>
      <c r="B105" s="38">
        <f>IF('VALE - MG'!S110="CONFORME ✓",1,0)</f>
        <v/>
      </c>
      <c r="C105" s="38">
        <f>IF('VALE - MG'!Z110="CONFORME ✓",1,0)</f>
        <v/>
      </c>
      <c r="D105" s="38">
        <f>IF('VALE - MG'!AG110="CONFORME ✓",1,0)</f>
        <v/>
      </c>
      <c r="E105" s="38">
        <f>IF('VALE - MG'!AH110="CONFORME ✓",2.5,0)</f>
        <v/>
      </c>
      <c r="F105" s="38">
        <f>IF('VALE - MG'!AI110="CONFORME ✓",2,0)</f>
        <v/>
      </c>
      <c r="G105" s="38">
        <f>IF('VALE - MG'!AJ110="CONFORME ✓",0.5,0)</f>
        <v/>
      </c>
      <c r="H105" s="38">
        <f>SUM(A105:D105)</f>
        <v/>
      </c>
      <c r="I105" s="38">
        <f>SUM(E105:G105)</f>
        <v/>
      </c>
    </row>
    <row r="106">
      <c r="A106" s="38">
        <f>IF('VALE - MG'!L111="CONFORME ✓",2,0)</f>
        <v/>
      </c>
      <c r="B106" s="38">
        <f>IF('VALE - MG'!S111="CONFORME ✓",1,0)</f>
        <v/>
      </c>
      <c r="C106" s="38">
        <f>IF('VALE - MG'!Z111="CONFORME ✓",1,0)</f>
        <v/>
      </c>
      <c r="D106" s="38">
        <f>IF('VALE - MG'!AG111="CONFORME ✓",1,0)</f>
        <v/>
      </c>
      <c r="E106" s="38">
        <f>IF('VALE - MG'!AH111="CONFORME ✓",2.5,0)</f>
        <v/>
      </c>
      <c r="F106" s="38">
        <f>IF('VALE - MG'!AI111="CONFORME ✓",2,0)</f>
        <v/>
      </c>
      <c r="G106" s="38">
        <f>IF('VALE - MG'!AJ111="CONFORME ✓",0.5,0)</f>
        <v/>
      </c>
      <c r="H106" s="38">
        <f>SUM(A106:D106)</f>
        <v/>
      </c>
      <c r="I106" s="38">
        <f>SUM(E106:G106)</f>
        <v/>
      </c>
    </row>
    <row r="107">
      <c r="A107" s="38">
        <f>IF('VALE - MG'!L112="CONFORME ✓",2,0)</f>
        <v/>
      </c>
      <c r="B107" s="38">
        <f>IF('VALE - MG'!S112="CONFORME ✓",1,0)</f>
        <v/>
      </c>
      <c r="C107" s="38">
        <f>IF('VALE - MG'!Z112="CONFORME ✓",1,0)</f>
        <v/>
      </c>
      <c r="D107" s="38">
        <f>IF('VALE - MG'!AG112="CONFORME ✓",1,0)</f>
        <v/>
      </c>
      <c r="E107" s="38">
        <f>IF('VALE - MG'!AH112="CONFORME ✓",2.5,0)</f>
        <v/>
      </c>
      <c r="F107" s="38">
        <f>IF('VALE - MG'!AI112="CONFORME ✓",2,0)</f>
        <v/>
      </c>
      <c r="G107" s="38">
        <f>IF('VALE - MG'!AJ112="CONFORME ✓",0.5,0)</f>
        <v/>
      </c>
      <c r="H107" s="38">
        <f>SUM(A107:D107)</f>
        <v/>
      </c>
      <c r="I107" s="38">
        <f>SUM(E107:G107)</f>
        <v/>
      </c>
    </row>
    <row r="108">
      <c r="A108" s="38">
        <f>IF('VALE - MG'!L113="CONFORME ✓",2,0)</f>
        <v/>
      </c>
      <c r="B108" s="38">
        <f>IF('VALE - MG'!S113="CONFORME ✓",1,0)</f>
        <v/>
      </c>
      <c r="C108" s="38">
        <f>IF('VALE - MG'!Z113="CONFORME ✓",1,0)</f>
        <v/>
      </c>
      <c r="D108" s="38">
        <f>IF('VALE - MG'!AG113="CONFORME ✓",1,0)</f>
        <v/>
      </c>
      <c r="E108" s="38">
        <f>IF('VALE - MG'!AH113="CONFORME ✓",2.5,0)</f>
        <v/>
      </c>
      <c r="F108" s="38">
        <f>IF('VALE - MG'!AI113="CONFORME ✓",2,0)</f>
        <v/>
      </c>
      <c r="G108" s="38">
        <f>IF('VALE - MG'!AJ113="CONFORME ✓",0.5,0)</f>
        <v/>
      </c>
      <c r="H108" s="38">
        <f>SUM(A108:D108)</f>
        <v/>
      </c>
      <c r="I108" s="38">
        <f>SUM(E108:G108)</f>
        <v/>
      </c>
    </row>
    <row r="109">
      <c r="A109" s="38">
        <f>IF('VALE - MG'!L114="CONFORME ✓",2,0)</f>
        <v/>
      </c>
      <c r="B109" s="38">
        <f>IF('VALE - MG'!S114="CONFORME ✓",1,0)</f>
        <v/>
      </c>
      <c r="C109" s="38">
        <f>IF('VALE - MG'!Z114="CONFORME ✓",1,0)</f>
        <v/>
      </c>
      <c r="D109" s="38">
        <f>IF('VALE - MG'!AG114="CONFORME ✓",1,0)</f>
        <v/>
      </c>
      <c r="E109" s="38">
        <f>IF('VALE - MG'!AH114="CONFORME ✓",2.5,0)</f>
        <v/>
      </c>
      <c r="F109" s="38">
        <f>IF('VALE - MG'!AI114="CONFORME ✓",2,0)</f>
        <v/>
      </c>
      <c r="G109" s="38">
        <f>IF('VALE - MG'!AJ114="CONFORME ✓",0.5,0)</f>
        <v/>
      </c>
      <c r="H109" s="38">
        <f>SUM(A109:D109)</f>
        <v/>
      </c>
      <c r="I109" s="38">
        <f>SUM(E109:G109)</f>
        <v/>
      </c>
    </row>
    <row r="110">
      <c r="A110" s="38">
        <f>IF('VALE - MG'!L115="CONFORME ✓",2,0)</f>
        <v/>
      </c>
      <c r="B110" s="38">
        <f>IF('VALE - MG'!S115="CONFORME ✓",1,0)</f>
        <v/>
      </c>
      <c r="C110" s="38">
        <f>IF('VALE - MG'!Z115="CONFORME ✓",1,0)</f>
        <v/>
      </c>
      <c r="D110" s="38">
        <f>IF('VALE - MG'!AG115="CONFORME ✓",1,0)</f>
        <v/>
      </c>
      <c r="E110" s="38">
        <f>IF('VALE - MG'!AH115="CONFORME ✓",2.5,0)</f>
        <v/>
      </c>
      <c r="F110" s="38">
        <f>IF('VALE - MG'!AI115="CONFORME ✓",2,0)</f>
        <v/>
      </c>
      <c r="G110" s="38">
        <f>IF('VALE - MG'!AJ115="CONFORME ✓",0.5,0)</f>
        <v/>
      </c>
      <c r="H110" s="38">
        <f>SUM(A110:D110)</f>
        <v/>
      </c>
      <c r="I110" s="38">
        <f>SUM(E110:G110)</f>
        <v/>
      </c>
    </row>
    <row r="111">
      <c r="A111" s="38">
        <f>IF('VALE - MG'!L116="CONFORME ✓",2,0)</f>
        <v/>
      </c>
      <c r="B111" s="38">
        <f>IF('VALE - MG'!S116="CONFORME ✓",1,0)</f>
        <v/>
      </c>
      <c r="C111" s="38">
        <f>IF('VALE - MG'!Z116="CONFORME ✓",1,0)</f>
        <v/>
      </c>
      <c r="D111" s="38">
        <f>IF('VALE - MG'!AG116="CONFORME ✓",1,0)</f>
        <v/>
      </c>
      <c r="E111" s="38">
        <f>IF('VALE - MG'!AH116="CONFORME ✓",2.5,0)</f>
        <v/>
      </c>
      <c r="F111" s="38">
        <f>IF('VALE - MG'!AI116="CONFORME ✓",2,0)</f>
        <v/>
      </c>
      <c r="G111" s="38">
        <f>IF('VALE - MG'!AJ116="CONFORME ✓",0.5,0)</f>
        <v/>
      </c>
      <c r="H111" s="38">
        <f>SUM(A111:D111)</f>
        <v/>
      </c>
      <c r="I111" s="38">
        <f>SUM(E111:G111)</f>
        <v/>
      </c>
    </row>
    <row r="112">
      <c r="A112" s="38">
        <f>IF('VALE - MG'!L117="CONFORME ✓",2,0)</f>
        <v/>
      </c>
      <c r="B112" s="38">
        <f>IF('VALE - MG'!S117="CONFORME ✓",1,0)</f>
        <v/>
      </c>
      <c r="C112" s="38">
        <f>IF('VALE - MG'!Z117="CONFORME ✓",1,0)</f>
        <v/>
      </c>
      <c r="D112" s="38">
        <f>IF('VALE - MG'!AG117="CONFORME ✓",1,0)</f>
        <v/>
      </c>
      <c r="E112" s="38">
        <f>IF('VALE - MG'!AH117="CONFORME ✓",2.5,0)</f>
        <v/>
      </c>
      <c r="F112" s="38">
        <f>IF('VALE - MG'!AI117="CONFORME ✓",2,0)</f>
        <v/>
      </c>
      <c r="G112" s="38">
        <f>IF('VALE - MG'!AJ117="CONFORME ✓",0.5,0)</f>
        <v/>
      </c>
      <c r="H112" s="38">
        <f>SUM(A112:D112)</f>
        <v/>
      </c>
      <c r="I112" s="38">
        <f>SUM(E112:G112)</f>
        <v/>
      </c>
    </row>
    <row r="113">
      <c r="A113" s="38">
        <f>IF('VALE - MG'!L118="CONFORME ✓",2,0)</f>
        <v/>
      </c>
      <c r="B113" s="38">
        <f>IF('VALE - MG'!S118="CONFORME ✓",1,0)</f>
        <v/>
      </c>
      <c r="C113" s="38">
        <f>IF('VALE - MG'!Z118="CONFORME ✓",1,0)</f>
        <v/>
      </c>
      <c r="D113" s="38">
        <f>IF('VALE - MG'!AG118="CONFORME ✓",1,0)</f>
        <v/>
      </c>
      <c r="E113" s="38">
        <f>IF('VALE - MG'!AH118="CONFORME ✓",2.5,0)</f>
        <v/>
      </c>
      <c r="F113" s="38">
        <f>IF('VALE - MG'!AI118="CONFORME ✓",2,0)</f>
        <v/>
      </c>
      <c r="G113" s="38">
        <f>IF('VALE - MG'!AJ118="CONFORME ✓",0.5,0)</f>
        <v/>
      </c>
      <c r="H113" s="38">
        <f>SUM(A113:D113)</f>
        <v/>
      </c>
      <c r="I113" s="38">
        <f>SUM(E113:G113)</f>
        <v/>
      </c>
    </row>
    <row r="114">
      <c r="A114" s="38">
        <f>IF('VALE - MG'!L119="CONFORME ✓",2,0)</f>
        <v/>
      </c>
      <c r="B114" s="38">
        <f>IF('VALE - MG'!S119="CONFORME ✓",1,0)</f>
        <v/>
      </c>
      <c r="C114" s="38">
        <f>IF('VALE - MG'!Z119="CONFORME ✓",1,0)</f>
        <v/>
      </c>
      <c r="D114" s="38">
        <f>IF('VALE - MG'!AG119="CONFORME ✓",1,0)</f>
        <v/>
      </c>
      <c r="E114" s="38">
        <f>IF('VALE - MG'!AH119="CONFORME ✓",2.5,0)</f>
        <v/>
      </c>
      <c r="F114" s="38">
        <f>IF('VALE - MG'!AI119="CONFORME ✓",2,0)</f>
        <v/>
      </c>
      <c r="G114" s="38">
        <f>IF('VALE - MG'!AJ119="CONFORME ✓",0.5,0)</f>
        <v/>
      </c>
      <c r="H114" s="38">
        <f>SUM(A114:D114)</f>
        <v/>
      </c>
      <c r="I114" s="38">
        <f>SUM(E114:G114)</f>
        <v/>
      </c>
    </row>
    <row r="115">
      <c r="A115" s="38">
        <f>IF('VALE - MG'!L120="CONFORME ✓",2,0)</f>
        <v/>
      </c>
      <c r="B115" s="38">
        <f>IF('VALE - MG'!S120="CONFORME ✓",1,0)</f>
        <v/>
      </c>
      <c r="C115" s="38">
        <f>IF('VALE - MG'!Z120="CONFORME ✓",1,0)</f>
        <v/>
      </c>
      <c r="D115" s="38">
        <f>IF('VALE - MG'!AG120="CONFORME ✓",1,0)</f>
        <v/>
      </c>
      <c r="E115" s="38">
        <f>IF('VALE - MG'!AH120="CONFORME ✓",2.5,0)</f>
        <v/>
      </c>
      <c r="F115" s="38">
        <f>IF('VALE - MG'!AI120="CONFORME ✓",2,0)</f>
        <v/>
      </c>
      <c r="G115" s="38">
        <f>IF('VALE - MG'!AJ120="CONFORME ✓",0.5,0)</f>
        <v/>
      </c>
      <c r="H115" s="38">
        <f>SUM(A115:D115)</f>
        <v/>
      </c>
      <c r="I115" s="38">
        <f>SUM(E115:G115)</f>
        <v/>
      </c>
    </row>
    <row r="116">
      <c r="A116" s="38">
        <f>IF('VALE - MG'!L121="CONFORME ✓",2,0)</f>
        <v/>
      </c>
      <c r="B116" s="38">
        <f>IF('VALE - MG'!S121="CONFORME ✓",1,0)</f>
        <v/>
      </c>
      <c r="C116" s="38">
        <f>IF('VALE - MG'!Z121="CONFORME ✓",1,0)</f>
        <v/>
      </c>
      <c r="D116" s="38">
        <f>IF('VALE - MG'!AG121="CONFORME ✓",1,0)</f>
        <v/>
      </c>
      <c r="E116" s="38">
        <f>IF('VALE - MG'!AH121="CONFORME ✓",2.5,0)</f>
        <v/>
      </c>
      <c r="F116" s="38">
        <f>IF('VALE - MG'!AI121="CONFORME ✓",2,0)</f>
        <v/>
      </c>
      <c r="G116" s="38">
        <f>IF('VALE - MG'!AJ121="CONFORME ✓",0.5,0)</f>
        <v/>
      </c>
      <c r="H116" s="38">
        <f>SUM(A116:D116)</f>
        <v/>
      </c>
      <c r="I116" s="38">
        <f>SUM(E116:G116)</f>
        <v/>
      </c>
    </row>
    <row r="117">
      <c r="A117" s="38">
        <f>IF('VALE - MG'!L122="CONFORME ✓",2,0)</f>
        <v/>
      </c>
      <c r="B117" s="38">
        <f>IF('VALE - MG'!S122="CONFORME ✓",1,0)</f>
        <v/>
      </c>
      <c r="C117" s="38">
        <f>IF('VALE - MG'!Z122="CONFORME ✓",1,0)</f>
        <v/>
      </c>
      <c r="D117" s="38">
        <f>IF('VALE - MG'!AG122="CONFORME ✓",1,0)</f>
        <v/>
      </c>
      <c r="E117" s="38">
        <f>IF('VALE - MG'!AH122="CONFORME ✓",2.5,0)</f>
        <v/>
      </c>
      <c r="F117" s="38">
        <f>IF('VALE - MG'!AI122="CONFORME ✓",2,0)</f>
        <v/>
      </c>
      <c r="G117" s="38">
        <f>IF('VALE - MG'!AJ122="CONFORME ✓",0.5,0)</f>
        <v/>
      </c>
      <c r="H117" s="38">
        <f>SUM(A117:D117)</f>
        <v/>
      </c>
      <c r="I117" s="38">
        <f>SUM(E117:G117)</f>
        <v/>
      </c>
    </row>
    <row r="118">
      <c r="A118" s="38">
        <f>IF('VALE - MG'!L123="CONFORME ✓",2,0)</f>
        <v/>
      </c>
      <c r="B118" s="38">
        <f>IF('VALE - MG'!S123="CONFORME ✓",1,0)</f>
        <v/>
      </c>
      <c r="C118" s="38">
        <f>IF('VALE - MG'!Z123="CONFORME ✓",1,0)</f>
        <v/>
      </c>
      <c r="D118" s="38">
        <f>IF('VALE - MG'!AG123="CONFORME ✓",1,0)</f>
        <v/>
      </c>
      <c r="E118" s="38">
        <f>IF('VALE - MG'!AH123="CONFORME ✓",2.5,0)</f>
        <v/>
      </c>
      <c r="F118" s="38">
        <f>IF('VALE - MG'!AI123="CONFORME ✓",2,0)</f>
        <v/>
      </c>
      <c r="G118" s="38">
        <f>IF('VALE - MG'!AJ123="CONFORME ✓",0.5,0)</f>
        <v/>
      </c>
      <c r="H118" s="38">
        <f>SUM(A118:D118)</f>
        <v/>
      </c>
      <c r="I118" s="38">
        <f>SUM(E118:G118)</f>
        <v/>
      </c>
    </row>
    <row r="119">
      <c r="A119" s="38">
        <f>IF('VALE - MG'!L124="CONFORME ✓",2,0)</f>
        <v/>
      </c>
      <c r="B119" s="38">
        <f>IF('VALE - MG'!S124="CONFORME ✓",1,0)</f>
        <v/>
      </c>
      <c r="C119" s="38">
        <f>IF('VALE - MG'!Z124="CONFORME ✓",1,0)</f>
        <v/>
      </c>
      <c r="D119" s="38">
        <f>IF('VALE - MG'!AG124="CONFORME ✓",1,0)</f>
        <v/>
      </c>
      <c r="E119" s="38">
        <f>IF('VALE - MG'!AH124="CONFORME ✓",2.5,0)</f>
        <v/>
      </c>
      <c r="F119" s="38">
        <f>IF('VALE - MG'!AI124="CONFORME ✓",2,0)</f>
        <v/>
      </c>
      <c r="G119" s="38">
        <f>IF('VALE - MG'!AJ124="CONFORME ✓",0.5,0)</f>
        <v/>
      </c>
      <c r="H119" s="38">
        <f>SUM(A119:D119)</f>
        <v/>
      </c>
      <c r="I119" s="38">
        <f>SUM(E119:G119)</f>
        <v/>
      </c>
    </row>
    <row r="120">
      <c r="A120" s="38">
        <f>IF('VALE - MG'!L125="CONFORME ✓",2,0)</f>
        <v/>
      </c>
      <c r="B120" s="38">
        <f>IF('VALE - MG'!S125="CONFORME ✓",1,0)</f>
        <v/>
      </c>
      <c r="C120" s="38">
        <f>IF('VALE - MG'!Z125="CONFORME ✓",1,0)</f>
        <v/>
      </c>
      <c r="D120" s="38">
        <f>IF('VALE - MG'!AG125="CONFORME ✓",1,0)</f>
        <v/>
      </c>
      <c r="E120" s="38">
        <f>IF('VALE - MG'!AH125="CONFORME ✓",2.5,0)</f>
        <v/>
      </c>
      <c r="F120" s="38">
        <f>IF('VALE - MG'!AI125="CONFORME ✓",2,0)</f>
        <v/>
      </c>
      <c r="G120" s="38">
        <f>IF('VALE - MG'!AJ125="CONFORME ✓",0.5,0)</f>
        <v/>
      </c>
      <c r="H120" s="38">
        <f>SUM(A120:D120)</f>
        <v/>
      </c>
      <c r="I120" s="38">
        <f>SUM(E120:G120)</f>
        <v/>
      </c>
    </row>
    <row r="121">
      <c r="A121" s="38">
        <f>IF('VALE - MG'!L126="CONFORME ✓",2,0)</f>
        <v/>
      </c>
      <c r="B121" s="38">
        <f>IF('VALE - MG'!S126="CONFORME ✓",1,0)</f>
        <v/>
      </c>
      <c r="C121" s="38">
        <f>IF('VALE - MG'!Z126="CONFORME ✓",1,0)</f>
        <v/>
      </c>
      <c r="D121" s="38">
        <f>IF('VALE - MG'!AG126="CONFORME ✓",1,0)</f>
        <v/>
      </c>
      <c r="E121" s="38">
        <f>IF('VALE - MG'!AH126="CONFORME ✓",2.5,0)</f>
        <v/>
      </c>
      <c r="F121" s="38">
        <f>IF('VALE - MG'!AI126="CONFORME ✓",2,0)</f>
        <v/>
      </c>
      <c r="G121" s="38">
        <f>IF('VALE - MG'!AJ126="CONFORME ✓",0.5,0)</f>
        <v/>
      </c>
      <c r="H121" s="38">
        <f>SUM(A121:D121)</f>
        <v/>
      </c>
      <c r="I121" s="38">
        <f>SUM(E121:G121)</f>
        <v/>
      </c>
    </row>
    <row r="122">
      <c r="A122" s="38">
        <f>IF('VALE - MG'!L127="CONFORME ✓",2,0)</f>
        <v/>
      </c>
      <c r="B122" s="38">
        <f>IF('VALE - MG'!S127="CONFORME ✓",1,0)</f>
        <v/>
      </c>
      <c r="C122" s="38">
        <f>IF('VALE - MG'!Z127="CONFORME ✓",1,0)</f>
        <v/>
      </c>
      <c r="D122" s="38">
        <f>IF('VALE - MG'!AG127="CONFORME ✓",1,0)</f>
        <v/>
      </c>
      <c r="E122" s="38">
        <f>IF('VALE - MG'!AH127="CONFORME ✓",2.5,0)</f>
        <v/>
      </c>
      <c r="F122" s="38">
        <f>IF('VALE - MG'!AI127="CONFORME ✓",2,0)</f>
        <v/>
      </c>
      <c r="G122" s="38">
        <f>IF('VALE - MG'!AJ127="CONFORME ✓",0.5,0)</f>
        <v/>
      </c>
      <c r="H122" s="38">
        <f>SUM(A122:D122)</f>
        <v/>
      </c>
      <c r="I122" s="38">
        <f>SUM(E122:G122)</f>
        <v/>
      </c>
    </row>
    <row r="123">
      <c r="A123" s="38">
        <f>IF('VALE - MG'!L128="CONFORME ✓",2,0)</f>
        <v/>
      </c>
      <c r="B123" s="38">
        <f>IF('VALE - MG'!S128="CONFORME ✓",1,0)</f>
        <v/>
      </c>
      <c r="C123" s="38">
        <f>IF('VALE - MG'!Z128="CONFORME ✓",1,0)</f>
        <v/>
      </c>
      <c r="D123" s="38">
        <f>IF('VALE - MG'!AG128="CONFORME ✓",1,0)</f>
        <v/>
      </c>
      <c r="E123" s="38">
        <f>IF('VALE - MG'!AH128="CONFORME ✓",2.5,0)</f>
        <v/>
      </c>
      <c r="F123" s="38">
        <f>IF('VALE - MG'!AI128="CONFORME ✓",2,0)</f>
        <v/>
      </c>
      <c r="G123" s="38">
        <f>IF('VALE - MG'!AJ128="CONFORME ✓",0.5,0)</f>
        <v/>
      </c>
      <c r="H123" s="38">
        <f>SUM(A123:D123)</f>
        <v/>
      </c>
      <c r="I123" s="38">
        <f>SUM(E123:G123)</f>
        <v/>
      </c>
    </row>
    <row r="124">
      <c r="A124" s="38">
        <f>IF('VALE - MG'!L129="CONFORME ✓",2,0)</f>
        <v/>
      </c>
      <c r="B124" s="38">
        <f>IF('VALE - MG'!S129="CONFORME ✓",1,0)</f>
        <v/>
      </c>
      <c r="C124" s="38">
        <f>IF('VALE - MG'!Z129="CONFORME ✓",1,0)</f>
        <v/>
      </c>
      <c r="D124" s="38">
        <f>IF('VALE - MG'!AG129="CONFORME ✓",1,0)</f>
        <v/>
      </c>
      <c r="E124" s="38">
        <f>IF('VALE - MG'!AH129="CONFORME ✓",2.5,0)</f>
        <v/>
      </c>
      <c r="F124" s="38">
        <f>IF('VALE - MG'!AI129="CONFORME ✓",2,0)</f>
        <v/>
      </c>
      <c r="G124" s="38">
        <f>IF('VALE - MG'!AJ129="CONFORME ✓",0.5,0)</f>
        <v/>
      </c>
      <c r="H124" s="38">
        <f>SUM(A124:D124)</f>
        <v/>
      </c>
      <c r="I124" s="38">
        <f>SUM(E124:G124)</f>
        <v/>
      </c>
    </row>
    <row r="125">
      <c r="A125" s="38">
        <f>IF('VALE - MG'!L130="CONFORME ✓",2,0)</f>
        <v/>
      </c>
      <c r="B125" s="38">
        <f>IF('VALE - MG'!S130="CONFORME ✓",1,0)</f>
        <v/>
      </c>
      <c r="C125" s="38">
        <f>IF('VALE - MG'!Z130="CONFORME ✓",1,0)</f>
        <v/>
      </c>
      <c r="D125" s="38">
        <f>IF('VALE - MG'!AG130="CONFORME ✓",1,0)</f>
        <v/>
      </c>
      <c r="E125" s="38">
        <f>IF('VALE - MG'!AH130="CONFORME ✓",2.5,0)</f>
        <v/>
      </c>
      <c r="F125" s="38">
        <f>IF('VALE - MG'!AI130="CONFORME ✓",2,0)</f>
        <v/>
      </c>
      <c r="G125" s="38">
        <f>IF('VALE - MG'!AJ130="CONFORME ✓",0.5,0)</f>
        <v/>
      </c>
      <c r="H125" s="38">
        <f>SUM(A125:D125)</f>
        <v/>
      </c>
      <c r="I125" s="38">
        <f>SUM(E125:G125)</f>
        <v/>
      </c>
    </row>
    <row r="126">
      <c r="A126" s="38">
        <f>IF('VALE - MG'!L131="CONFORME ✓",2,0)</f>
        <v/>
      </c>
      <c r="B126" s="38">
        <f>IF('VALE - MG'!S131="CONFORME ✓",1,0)</f>
        <v/>
      </c>
      <c r="C126" s="38">
        <f>IF('VALE - MG'!Z131="CONFORME ✓",1,0)</f>
        <v/>
      </c>
      <c r="D126" s="38">
        <f>IF('VALE - MG'!AG131="CONFORME ✓",1,0)</f>
        <v/>
      </c>
      <c r="E126" s="38">
        <f>IF('VALE - MG'!AH131="CONFORME ✓",2.5,0)</f>
        <v/>
      </c>
      <c r="F126" s="38">
        <f>IF('VALE - MG'!AI131="CONFORME ✓",2,0)</f>
        <v/>
      </c>
      <c r="G126" s="38">
        <f>IF('VALE - MG'!AJ131="CONFORME ✓",0.5,0)</f>
        <v/>
      </c>
      <c r="H126" s="38">
        <f>SUM(A126:D126)</f>
        <v/>
      </c>
      <c r="I126" s="38">
        <f>SUM(E126:G126)</f>
        <v/>
      </c>
    </row>
    <row r="127">
      <c r="A127" s="38">
        <f>IF('VALE - MG'!L132="CONFORME ✓",2,0)</f>
        <v/>
      </c>
      <c r="B127" s="38">
        <f>IF('VALE - MG'!S132="CONFORME ✓",1,0)</f>
        <v/>
      </c>
      <c r="C127" s="38">
        <f>IF('VALE - MG'!Z132="CONFORME ✓",1,0)</f>
        <v/>
      </c>
      <c r="D127" s="38">
        <f>IF('VALE - MG'!AG132="CONFORME ✓",1,0)</f>
        <v/>
      </c>
      <c r="E127" s="38">
        <f>IF('VALE - MG'!AH132="CONFORME ✓",2.5,0)</f>
        <v/>
      </c>
      <c r="F127" s="38">
        <f>IF('VALE - MG'!AI132="CONFORME ✓",2,0)</f>
        <v/>
      </c>
      <c r="G127" s="38">
        <f>IF('VALE - MG'!AJ132="CONFORME ✓",0.5,0)</f>
        <v/>
      </c>
      <c r="H127" s="38">
        <f>SUM(A127:D127)</f>
        <v/>
      </c>
      <c r="I127" s="38">
        <f>SUM(E127:G127)</f>
        <v/>
      </c>
    </row>
    <row r="128">
      <c r="A128" s="38">
        <f>IF('VALE - MG'!L133="CONFORME ✓",2,0)</f>
        <v/>
      </c>
      <c r="B128" s="38">
        <f>IF('VALE - MG'!S133="CONFORME ✓",1,0)</f>
        <v/>
      </c>
      <c r="C128" s="38">
        <f>IF('VALE - MG'!Z133="CONFORME ✓",1,0)</f>
        <v/>
      </c>
      <c r="D128" s="38">
        <f>IF('VALE - MG'!AG133="CONFORME ✓",1,0)</f>
        <v/>
      </c>
      <c r="E128" s="38">
        <f>IF('VALE - MG'!AH133="CONFORME ✓",2.5,0)</f>
        <v/>
      </c>
      <c r="F128" s="38">
        <f>IF('VALE - MG'!AI133="CONFORME ✓",2,0)</f>
        <v/>
      </c>
      <c r="G128" s="38">
        <f>IF('VALE - MG'!AJ133="CONFORME ✓",0.5,0)</f>
        <v/>
      </c>
      <c r="H128" s="38">
        <f>SUM(A128:D128)</f>
        <v/>
      </c>
      <c r="I128" s="38">
        <f>SUM(E128:G128)</f>
        <v/>
      </c>
    </row>
    <row r="129">
      <c r="A129" s="38">
        <f>IF('VALE - MG'!L134="CONFORME ✓",2,0)</f>
        <v/>
      </c>
      <c r="B129" s="38">
        <f>IF('VALE - MG'!S134="CONFORME ✓",1,0)</f>
        <v/>
      </c>
      <c r="C129" s="38">
        <f>IF('VALE - MG'!Z134="CONFORME ✓",1,0)</f>
        <v/>
      </c>
      <c r="D129" s="38">
        <f>IF('VALE - MG'!AG134="CONFORME ✓",1,0)</f>
        <v/>
      </c>
      <c r="E129" s="38">
        <f>IF('VALE - MG'!AH134="CONFORME ✓",2.5,0)</f>
        <v/>
      </c>
      <c r="F129" s="38">
        <f>IF('VALE - MG'!AI134="CONFORME ✓",2,0)</f>
        <v/>
      </c>
      <c r="G129" s="38">
        <f>IF('VALE - MG'!AJ134="CONFORME ✓",0.5,0)</f>
        <v/>
      </c>
      <c r="H129" s="38">
        <f>SUM(A129:D129)</f>
        <v/>
      </c>
      <c r="I129" s="38">
        <f>SUM(E129:G129)</f>
        <v/>
      </c>
    </row>
    <row r="130">
      <c r="A130" s="38">
        <f>IF('VALE - MG'!L135="CONFORME ✓",2,0)</f>
        <v/>
      </c>
      <c r="B130" s="38">
        <f>IF('VALE - MG'!S135="CONFORME ✓",1,0)</f>
        <v/>
      </c>
      <c r="C130" s="38">
        <f>IF('VALE - MG'!Z135="CONFORME ✓",1,0)</f>
        <v/>
      </c>
      <c r="D130" s="38">
        <f>IF('VALE - MG'!AG135="CONFORME ✓",1,0)</f>
        <v/>
      </c>
      <c r="E130" s="38">
        <f>IF('VALE - MG'!AH135="CONFORME ✓",2.5,0)</f>
        <v/>
      </c>
      <c r="F130" s="38">
        <f>IF('VALE - MG'!AI135="CONFORME ✓",2,0)</f>
        <v/>
      </c>
      <c r="G130" s="38">
        <f>IF('VALE - MG'!AJ135="CONFORME ✓",0.5,0)</f>
        <v/>
      </c>
      <c r="H130" s="38">
        <f>SUM(A130:D130)</f>
        <v/>
      </c>
      <c r="I130" s="38">
        <f>SUM(E130:G130)</f>
        <v/>
      </c>
    </row>
    <row r="131">
      <c r="A131" s="38">
        <f>IF('VALE - MG'!L136="CONFORME ✓",2,0)</f>
        <v/>
      </c>
      <c r="B131" s="38">
        <f>IF('VALE - MG'!S136="CONFORME ✓",1,0)</f>
        <v/>
      </c>
      <c r="C131" s="38">
        <f>IF('VALE - MG'!Z136="CONFORME ✓",1,0)</f>
        <v/>
      </c>
      <c r="D131" s="38">
        <f>IF('VALE - MG'!AG136="CONFORME ✓",1,0)</f>
        <v/>
      </c>
      <c r="E131" s="38">
        <f>IF('VALE - MG'!AH136="CONFORME ✓",2.5,0)</f>
        <v/>
      </c>
      <c r="F131" s="38">
        <f>IF('VALE - MG'!AI136="CONFORME ✓",2,0)</f>
        <v/>
      </c>
      <c r="G131" s="38">
        <f>IF('VALE - MG'!AJ136="CONFORME ✓",0.5,0)</f>
        <v/>
      </c>
      <c r="H131" s="38">
        <f>SUM(A131:D131)</f>
        <v/>
      </c>
      <c r="I131" s="38">
        <f>SUM(E131:G131)</f>
        <v/>
      </c>
    </row>
    <row r="132">
      <c r="A132" s="38">
        <f>IF('VALE - MG'!L137="CONFORME ✓",2,0)</f>
        <v/>
      </c>
      <c r="B132" s="38">
        <f>IF('VALE - MG'!S137="CONFORME ✓",1,0)</f>
        <v/>
      </c>
      <c r="C132" s="38">
        <f>IF('VALE - MG'!Z137="CONFORME ✓",1,0)</f>
        <v/>
      </c>
      <c r="D132" s="38">
        <f>IF('VALE - MG'!AG137="CONFORME ✓",1,0)</f>
        <v/>
      </c>
      <c r="E132" s="38">
        <f>IF('VALE - MG'!AH137="CONFORME ✓",2.5,0)</f>
        <v/>
      </c>
      <c r="F132" s="38">
        <f>IF('VALE - MG'!AI137="CONFORME ✓",2,0)</f>
        <v/>
      </c>
      <c r="G132" s="38">
        <f>IF('VALE - MG'!AJ137="CONFORME ✓",0.5,0)</f>
        <v/>
      </c>
      <c r="H132" s="38">
        <f>SUM(A132:D132)</f>
        <v/>
      </c>
      <c r="I132" s="38">
        <f>SUM(E132:G132)</f>
        <v/>
      </c>
    </row>
    <row r="133">
      <c r="A133" s="38">
        <f>IF('VALE - MG'!L138="CONFORME ✓",2,0)</f>
        <v/>
      </c>
      <c r="B133" s="38">
        <f>IF('VALE - MG'!S138="CONFORME ✓",1,0)</f>
        <v/>
      </c>
      <c r="C133" s="38">
        <f>IF('VALE - MG'!Z138="CONFORME ✓",1,0)</f>
        <v/>
      </c>
      <c r="D133" s="38">
        <f>IF('VALE - MG'!AG138="CONFORME ✓",1,0)</f>
        <v/>
      </c>
      <c r="E133" s="38">
        <f>IF('VALE - MG'!AH138="CONFORME ✓",2.5,0)</f>
        <v/>
      </c>
      <c r="F133" s="38">
        <f>IF('VALE - MG'!AI138="CONFORME ✓",2,0)</f>
        <v/>
      </c>
      <c r="G133" s="38">
        <f>IF('VALE - MG'!AJ138="CONFORME ✓",0.5,0)</f>
        <v/>
      </c>
      <c r="H133" s="38">
        <f>SUM(A133:D133)</f>
        <v/>
      </c>
      <c r="I133" s="38">
        <f>SUM(E133:G133)</f>
        <v/>
      </c>
    </row>
    <row r="134">
      <c r="A134" s="38">
        <f>IF('VALE - MG'!L139="CONFORME ✓",2,0)</f>
        <v/>
      </c>
      <c r="B134" s="38">
        <f>IF('VALE - MG'!S139="CONFORME ✓",1,0)</f>
        <v/>
      </c>
      <c r="C134" s="38">
        <f>IF('VALE - MG'!Z139="CONFORME ✓",1,0)</f>
        <v/>
      </c>
      <c r="D134" s="38">
        <f>IF('VALE - MG'!AG139="CONFORME ✓",1,0)</f>
        <v/>
      </c>
      <c r="E134" s="38">
        <f>IF('VALE - MG'!AH139="CONFORME ✓",2.5,0)</f>
        <v/>
      </c>
      <c r="F134" s="38">
        <f>IF('VALE - MG'!AI139="CONFORME ✓",2,0)</f>
        <v/>
      </c>
      <c r="G134" s="38">
        <f>IF('VALE - MG'!AJ139="CONFORME ✓",0.5,0)</f>
        <v/>
      </c>
      <c r="H134" s="38">
        <f>SUM(A134:D134)</f>
        <v/>
      </c>
      <c r="I134" s="38">
        <f>SUM(E134:G134)</f>
        <v/>
      </c>
    </row>
    <row r="135">
      <c r="A135" s="38">
        <f>IF('VALE - MG'!L140="CONFORME ✓",2,0)</f>
        <v/>
      </c>
      <c r="B135" s="38">
        <f>IF('VALE - MG'!S140="CONFORME ✓",1,0)</f>
        <v/>
      </c>
      <c r="C135" s="38">
        <f>IF('VALE - MG'!Z140="CONFORME ✓",1,0)</f>
        <v/>
      </c>
      <c r="D135" s="38">
        <f>IF('VALE - MG'!AG140="CONFORME ✓",1,0)</f>
        <v/>
      </c>
      <c r="E135" s="38">
        <f>IF('VALE - MG'!AH140="CONFORME ✓",2.5,0)</f>
        <v/>
      </c>
      <c r="F135" s="38">
        <f>IF('VALE - MG'!AI140="CONFORME ✓",2,0)</f>
        <v/>
      </c>
      <c r="G135" s="38">
        <f>IF('VALE - MG'!AJ140="CONFORME ✓",0.5,0)</f>
        <v/>
      </c>
      <c r="H135" s="38">
        <f>SUM(A135:D135)</f>
        <v/>
      </c>
      <c r="I135" s="38">
        <f>SUM(E135:G135)</f>
        <v/>
      </c>
    </row>
    <row r="136">
      <c r="A136" s="38">
        <f>IF('VALE - MG'!L141="CONFORME ✓",2,0)</f>
        <v/>
      </c>
      <c r="B136" s="38">
        <f>IF('VALE - MG'!S141="CONFORME ✓",1,0)</f>
        <v/>
      </c>
      <c r="C136" s="38">
        <f>IF('VALE - MG'!Z141="CONFORME ✓",1,0)</f>
        <v/>
      </c>
      <c r="D136" s="38">
        <f>IF('VALE - MG'!AG141="CONFORME ✓",1,0)</f>
        <v/>
      </c>
      <c r="E136" s="38">
        <f>IF('VALE - MG'!AH141="CONFORME ✓",2.5,0)</f>
        <v/>
      </c>
      <c r="F136" s="38">
        <f>IF('VALE - MG'!AI141="CONFORME ✓",2,0)</f>
        <v/>
      </c>
      <c r="G136" s="38">
        <f>IF('VALE - MG'!AJ141="CONFORME ✓",0.5,0)</f>
        <v/>
      </c>
      <c r="H136" s="38">
        <f>SUM(A136:D136)</f>
        <v/>
      </c>
      <c r="I136" s="38">
        <f>SUM(E136:G136)</f>
        <v/>
      </c>
    </row>
    <row r="137">
      <c r="A137" s="38">
        <f>IF('VALE - MG'!L142="CONFORME ✓",2,0)</f>
        <v/>
      </c>
      <c r="B137" s="38">
        <f>IF('VALE - MG'!S142="CONFORME ✓",1,0)</f>
        <v/>
      </c>
      <c r="C137" s="38">
        <f>IF('VALE - MG'!Z142="CONFORME ✓",1,0)</f>
        <v/>
      </c>
      <c r="D137" s="38">
        <f>IF('VALE - MG'!AG142="CONFORME ✓",1,0)</f>
        <v/>
      </c>
      <c r="E137" s="38">
        <f>IF('VALE - MG'!AH142="CONFORME ✓",2.5,0)</f>
        <v/>
      </c>
      <c r="F137" s="38">
        <f>IF('VALE - MG'!AI142="CONFORME ✓",2,0)</f>
        <v/>
      </c>
      <c r="G137" s="38">
        <f>IF('VALE - MG'!AJ142="CONFORME ✓",0.5,0)</f>
        <v/>
      </c>
      <c r="H137" s="38">
        <f>SUM(A137:D137)</f>
        <v/>
      </c>
      <c r="I137" s="38">
        <f>SUM(E137:G137)</f>
        <v/>
      </c>
    </row>
    <row r="138">
      <c r="A138" s="38">
        <f>IF('VALE - MG'!L143="CONFORME ✓",2,0)</f>
        <v/>
      </c>
      <c r="B138" s="38">
        <f>IF('VALE - MG'!S143="CONFORME ✓",1,0)</f>
        <v/>
      </c>
      <c r="C138" s="38">
        <f>IF('VALE - MG'!Z143="CONFORME ✓",1,0)</f>
        <v/>
      </c>
      <c r="D138" s="38">
        <f>IF('VALE - MG'!AG143="CONFORME ✓",1,0)</f>
        <v/>
      </c>
      <c r="E138" s="38">
        <f>IF('VALE - MG'!AH143="CONFORME ✓",2.5,0)</f>
        <v/>
      </c>
      <c r="F138" s="38">
        <f>IF('VALE - MG'!AI143="CONFORME ✓",2,0)</f>
        <v/>
      </c>
      <c r="G138" s="38">
        <f>IF('VALE - MG'!AJ143="CONFORME ✓",0.5,0)</f>
        <v/>
      </c>
      <c r="H138" s="38">
        <f>SUM(A138:D138)</f>
        <v/>
      </c>
      <c r="I138" s="38">
        <f>SUM(E138:G138)</f>
        <v/>
      </c>
    </row>
    <row r="139">
      <c r="A139" s="38">
        <f>IF('VALE - MG'!L144="CONFORME ✓",2,0)</f>
        <v/>
      </c>
      <c r="B139" s="38">
        <f>IF('VALE - MG'!S144="CONFORME ✓",1,0)</f>
        <v/>
      </c>
      <c r="C139" s="38">
        <f>IF('VALE - MG'!Z144="CONFORME ✓",1,0)</f>
        <v/>
      </c>
      <c r="D139" s="38">
        <f>IF('VALE - MG'!AG144="CONFORME ✓",1,0)</f>
        <v/>
      </c>
      <c r="E139" s="38">
        <f>IF('VALE - MG'!AH144="CONFORME ✓",2.5,0)</f>
        <v/>
      </c>
      <c r="F139" s="38">
        <f>IF('VALE - MG'!AI144="CONFORME ✓",2,0)</f>
        <v/>
      </c>
      <c r="G139" s="38">
        <f>IF('VALE - MG'!AJ144="CONFORME ✓",0.5,0)</f>
        <v/>
      </c>
      <c r="H139" s="38">
        <f>SUM(A139:D139)</f>
        <v/>
      </c>
      <c r="I139" s="38">
        <f>SUM(E139:G139)</f>
        <v/>
      </c>
    </row>
    <row r="140">
      <c r="A140" s="38">
        <f>IF('VALE - MG'!L145="CONFORME ✓",2,0)</f>
        <v/>
      </c>
      <c r="B140" s="38">
        <f>IF('VALE - MG'!S145="CONFORME ✓",1,0)</f>
        <v/>
      </c>
      <c r="C140" s="38">
        <f>IF('VALE - MG'!Z145="CONFORME ✓",1,0)</f>
        <v/>
      </c>
      <c r="D140" s="38">
        <f>IF('VALE - MG'!AG145="CONFORME ✓",1,0)</f>
        <v/>
      </c>
      <c r="E140" s="38">
        <f>IF('VALE - MG'!AH145="CONFORME ✓",2.5,0)</f>
        <v/>
      </c>
      <c r="F140" s="38">
        <f>IF('VALE - MG'!AI145="CONFORME ✓",2,0)</f>
        <v/>
      </c>
      <c r="G140" s="38">
        <f>IF('VALE - MG'!AJ145="CONFORME ✓",0.5,0)</f>
        <v/>
      </c>
      <c r="H140" s="38">
        <f>SUM(A140:D140)</f>
        <v/>
      </c>
      <c r="I140" s="38">
        <f>SUM(E140:G140)</f>
        <v/>
      </c>
    </row>
    <row r="141">
      <c r="A141" s="38">
        <f>IF('VALE - MG'!L146="CONFORME ✓",2,0)</f>
        <v/>
      </c>
      <c r="B141" s="38">
        <f>IF('VALE - MG'!S146="CONFORME ✓",1,0)</f>
        <v/>
      </c>
      <c r="C141" s="38">
        <f>IF('VALE - MG'!Z146="CONFORME ✓",1,0)</f>
        <v/>
      </c>
      <c r="D141" s="38">
        <f>IF('VALE - MG'!AG146="CONFORME ✓",1,0)</f>
        <v/>
      </c>
      <c r="E141" s="38">
        <f>IF('VALE - MG'!AH146="CONFORME ✓",2.5,0)</f>
        <v/>
      </c>
      <c r="F141" s="38">
        <f>IF('VALE - MG'!AI146="CONFORME ✓",2,0)</f>
        <v/>
      </c>
      <c r="G141" s="38">
        <f>IF('VALE - MG'!AJ146="CONFORME ✓",0.5,0)</f>
        <v/>
      </c>
      <c r="H141" s="38">
        <f>SUM(A141:D141)</f>
        <v/>
      </c>
      <c r="I141" s="38">
        <f>SUM(E141:G141)</f>
        <v/>
      </c>
    </row>
    <row r="142">
      <c r="A142" s="38">
        <f>IF('VALE - MG'!L147="CONFORME ✓",2,0)</f>
        <v/>
      </c>
      <c r="B142" s="38">
        <f>IF('VALE - MG'!S147="CONFORME ✓",1,0)</f>
        <v/>
      </c>
      <c r="C142" s="38">
        <f>IF('VALE - MG'!Z147="CONFORME ✓",1,0)</f>
        <v/>
      </c>
      <c r="D142" s="38">
        <f>IF('VALE - MG'!AG147="CONFORME ✓",1,0)</f>
        <v/>
      </c>
      <c r="E142" s="38">
        <f>IF('VALE - MG'!AH147="CONFORME ✓",2.5,0)</f>
        <v/>
      </c>
      <c r="F142" s="38">
        <f>IF('VALE - MG'!AI147="CONFORME ✓",2,0)</f>
        <v/>
      </c>
      <c r="G142" s="38">
        <f>IF('VALE - MG'!AJ147="CONFORME ✓",0.5,0)</f>
        <v/>
      </c>
      <c r="H142" s="38">
        <f>SUM(A142:D142)</f>
        <v/>
      </c>
      <c r="I142" s="38">
        <f>SUM(E142:G142)</f>
        <v/>
      </c>
    </row>
    <row r="143">
      <c r="A143" s="38">
        <f>IF('VALE - MG'!L148="CONFORME ✓",2,0)</f>
        <v/>
      </c>
      <c r="B143" s="38">
        <f>IF('VALE - MG'!S148="CONFORME ✓",1,0)</f>
        <v/>
      </c>
      <c r="C143" s="38">
        <f>IF('VALE - MG'!Z148="CONFORME ✓",1,0)</f>
        <v/>
      </c>
      <c r="D143" s="38">
        <f>IF('VALE - MG'!AG148="CONFORME ✓",1,0)</f>
        <v/>
      </c>
      <c r="E143" s="38">
        <f>IF('VALE - MG'!AH148="CONFORME ✓",2.5,0)</f>
        <v/>
      </c>
      <c r="F143" s="38">
        <f>IF('VALE - MG'!AI148="CONFORME ✓",2,0)</f>
        <v/>
      </c>
      <c r="G143" s="38">
        <f>IF('VALE - MG'!AJ148="CONFORME ✓",0.5,0)</f>
        <v/>
      </c>
      <c r="H143" s="38">
        <f>SUM(A143:D143)</f>
        <v/>
      </c>
      <c r="I143" s="38">
        <f>SUM(E143:G143)</f>
        <v/>
      </c>
    </row>
    <row r="144">
      <c r="A144" s="38">
        <f>IF('VALE - MG'!L149="CONFORME ✓",2,0)</f>
        <v/>
      </c>
      <c r="B144" s="38">
        <f>IF('VALE - MG'!S149="CONFORME ✓",1,0)</f>
        <v/>
      </c>
      <c r="C144" s="38">
        <f>IF('VALE - MG'!Z149="CONFORME ✓",1,0)</f>
        <v/>
      </c>
      <c r="D144" s="38">
        <f>IF('VALE - MG'!AG149="CONFORME ✓",1,0)</f>
        <v/>
      </c>
      <c r="E144" s="38">
        <f>IF('VALE - MG'!AH149="CONFORME ✓",2.5,0)</f>
        <v/>
      </c>
      <c r="F144" s="38">
        <f>IF('VALE - MG'!AI149="CONFORME ✓",2,0)</f>
        <v/>
      </c>
      <c r="G144" s="38">
        <f>IF('VALE - MG'!AJ149="CONFORME ✓",0.5,0)</f>
        <v/>
      </c>
      <c r="H144" s="38">
        <f>SUM(A144:D144)</f>
        <v/>
      </c>
      <c r="I144" s="38">
        <f>SUM(E144:G144)</f>
        <v/>
      </c>
    </row>
    <row r="145">
      <c r="A145" s="38">
        <f>IF('VALE - MG'!L150="CONFORME ✓",2,0)</f>
        <v/>
      </c>
      <c r="B145" s="38">
        <f>IF('VALE - MG'!S150="CONFORME ✓",1,0)</f>
        <v/>
      </c>
      <c r="C145" s="38">
        <f>IF('VALE - MG'!Z150="CONFORME ✓",1,0)</f>
        <v/>
      </c>
      <c r="D145" s="38">
        <f>IF('VALE - MG'!AG150="CONFORME ✓",1,0)</f>
        <v/>
      </c>
      <c r="E145" s="38">
        <f>IF('VALE - MG'!AH150="CONFORME ✓",2.5,0)</f>
        <v/>
      </c>
      <c r="F145" s="38">
        <f>IF('VALE - MG'!AI150="CONFORME ✓",2,0)</f>
        <v/>
      </c>
      <c r="G145" s="38">
        <f>IF('VALE - MG'!AJ150="CONFORME ✓",0.5,0)</f>
        <v/>
      </c>
      <c r="H145" s="38">
        <f>SUM(A145:D145)</f>
        <v/>
      </c>
      <c r="I145" s="38">
        <f>SUM(E145:G145)</f>
        <v/>
      </c>
    </row>
    <row r="146">
      <c r="A146" s="38">
        <f>IF('VALE - MG'!L151="CONFORME ✓",2,0)</f>
        <v/>
      </c>
      <c r="B146" s="38">
        <f>IF('VALE - MG'!S151="CONFORME ✓",1,0)</f>
        <v/>
      </c>
      <c r="C146" s="38">
        <f>IF('VALE - MG'!Z151="CONFORME ✓",1,0)</f>
        <v/>
      </c>
      <c r="D146" s="38">
        <f>IF('VALE - MG'!AG151="CONFORME ✓",1,0)</f>
        <v/>
      </c>
      <c r="E146" s="38">
        <f>IF('VALE - MG'!AH151="CONFORME ✓",2.5,0)</f>
        <v/>
      </c>
      <c r="F146" s="38">
        <f>IF('VALE - MG'!AI151="CONFORME ✓",2,0)</f>
        <v/>
      </c>
      <c r="G146" s="38">
        <f>IF('VALE - MG'!AJ151="CONFORME ✓",0.5,0)</f>
        <v/>
      </c>
      <c r="H146" s="38">
        <f>SUM(A146:D146)</f>
        <v/>
      </c>
      <c r="I146" s="38">
        <f>SUM(E146:G146)</f>
        <v/>
      </c>
    </row>
    <row r="147">
      <c r="A147" s="38">
        <f>IF('VALE - MG'!L152="CONFORME ✓",2,0)</f>
        <v/>
      </c>
      <c r="B147" s="38">
        <f>IF('VALE - MG'!S152="CONFORME ✓",1,0)</f>
        <v/>
      </c>
      <c r="C147" s="38">
        <f>IF('VALE - MG'!Z152="CONFORME ✓",1,0)</f>
        <v/>
      </c>
      <c r="D147" s="38">
        <f>IF('VALE - MG'!AG152="CONFORME ✓",1,0)</f>
        <v/>
      </c>
      <c r="E147" s="38">
        <f>IF('VALE - MG'!AH152="CONFORME ✓",2.5,0)</f>
        <v/>
      </c>
      <c r="F147" s="38">
        <f>IF('VALE - MG'!AI152="CONFORME ✓",2,0)</f>
        <v/>
      </c>
      <c r="G147" s="38">
        <f>IF('VALE - MG'!AJ152="CONFORME ✓",0.5,0)</f>
        <v/>
      </c>
      <c r="H147" s="38">
        <f>SUM(A147:D147)</f>
        <v/>
      </c>
      <c r="I147" s="38">
        <f>SUM(E147:G147)</f>
        <v/>
      </c>
    </row>
    <row r="148">
      <c r="A148" s="38">
        <f>IF('VALE - MG'!L153="CONFORME ✓",2,0)</f>
        <v/>
      </c>
      <c r="B148" s="38">
        <f>IF('VALE - MG'!S153="CONFORME ✓",1,0)</f>
        <v/>
      </c>
      <c r="C148" s="38">
        <f>IF('VALE - MG'!Z153="CONFORME ✓",1,0)</f>
        <v/>
      </c>
      <c r="D148" s="38">
        <f>IF('VALE - MG'!AG153="CONFORME ✓",1,0)</f>
        <v/>
      </c>
      <c r="E148" s="38">
        <f>IF('VALE - MG'!AH153="CONFORME ✓",2.5,0)</f>
        <v/>
      </c>
      <c r="F148" s="38">
        <f>IF('VALE - MG'!AI153="CONFORME ✓",2,0)</f>
        <v/>
      </c>
      <c r="G148" s="38">
        <f>IF('VALE - MG'!AJ153="CONFORME ✓",0.5,0)</f>
        <v/>
      </c>
      <c r="H148" s="38">
        <f>SUM(A148:D148)</f>
        <v/>
      </c>
      <c r="I148" s="38">
        <f>SUM(E148:G148)</f>
        <v/>
      </c>
    </row>
    <row r="149">
      <c r="A149" s="38">
        <f>IF('VALE - MG'!L154="CONFORME ✓",2,0)</f>
        <v/>
      </c>
      <c r="B149" s="38">
        <f>IF('VALE - MG'!S154="CONFORME ✓",1,0)</f>
        <v/>
      </c>
      <c r="C149" s="38">
        <f>IF('VALE - MG'!Z154="CONFORME ✓",1,0)</f>
        <v/>
      </c>
      <c r="D149" s="38">
        <f>IF('VALE - MG'!AG154="CONFORME ✓",1,0)</f>
        <v/>
      </c>
      <c r="E149" s="38">
        <f>IF('VALE - MG'!AH154="CONFORME ✓",2.5,0)</f>
        <v/>
      </c>
      <c r="F149" s="38">
        <f>IF('VALE - MG'!AI154="CONFORME ✓",2,0)</f>
        <v/>
      </c>
      <c r="G149" s="38">
        <f>IF('VALE - MG'!AJ154="CONFORME ✓",0.5,0)</f>
        <v/>
      </c>
      <c r="H149" s="38">
        <f>SUM(A149:D149)</f>
        <v/>
      </c>
      <c r="I149" s="38">
        <f>SUM(E149:G149)</f>
        <v/>
      </c>
    </row>
    <row r="150">
      <c r="A150" s="38">
        <f>IF('VALE - MG'!L155="CONFORME ✓",2,0)</f>
        <v/>
      </c>
      <c r="B150" s="38">
        <f>IF('VALE - MG'!S155="CONFORME ✓",1,0)</f>
        <v/>
      </c>
      <c r="C150" s="38">
        <f>IF('VALE - MG'!Z155="CONFORME ✓",1,0)</f>
        <v/>
      </c>
      <c r="D150" s="38">
        <f>IF('VALE - MG'!AG155="CONFORME ✓",1,0)</f>
        <v/>
      </c>
      <c r="E150" s="38">
        <f>IF('VALE - MG'!AH155="CONFORME ✓",2.5,0)</f>
        <v/>
      </c>
      <c r="F150" s="38">
        <f>IF('VALE - MG'!AI155="CONFORME ✓",2,0)</f>
        <v/>
      </c>
      <c r="G150" s="38">
        <f>IF('VALE - MG'!AJ155="CONFORME ✓",0.5,0)</f>
        <v/>
      </c>
      <c r="H150" s="38">
        <f>SUM(A150:D150)</f>
        <v/>
      </c>
      <c r="I150" s="38">
        <f>SUM(E150:G150)</f>
        <v/>
      </c>
    </row>
    <row r="151">
      <c r="A151" s="38">
        <f>IF('VALE - MG'!L156="CONFORME ✓",2,0)</f>
        <v/>
      </c>
      <c r="B151" s="38">
        <f>IF('VALE - MG'!S156="CONFORME ✓",1,0)</f>
        <v/>
      </c>
      <c r="C151" s="38">
        <f>IF('VALE - MG'!Z156="CONFORME ✓",1,0)</f>
        <v/>
      </c>
      <c r="D151" s="38">
        <f>IF('VALE - MG'!AG156="CONFORME ✓",1,0)</f>
        <v/>
      </c>
      <c r="E151" s="38">
        <f>IF('VALE - MG'!AH156="CONFORME ✓",2.5,0)</f>
        <v/>
      </c>
      <c r="F151" s="38">
        <f>IF('VALE - MG'!AI156="CONFORME ✓",2,0)</f>
        <v/>
      </c>
      <c r="G151" s="38">
        <f>IF('VALE - MG'!AJ156="CONFORME ✓",0.5,0)</f>
        <v/>
      </c>
      <c r="H151" s="38">
        <f>SUM(A151:D151)</f>
        <v/>
      </c>
      <c r="I151" s="38">
        <f>SUM(E151:G151)</f>
        <v/>
      </c>
    </row>
    <row r="152">
      <c r="A152" s="38">
        <f>IF('VALE - MG'!L157="CONFORME ✓",2,0)</f>
        <v/>
      </c>
      <c r="B152" s="38">
        <f>IF('VALE - MG'!S157="CONFORME ✓",1,0)</f>
        <v/>
      </c>
      <c r="C152" s="38">
        <f>IF('VALE - MG'!Z157="CONFORME ✓",1,0)</f>
        <v/>
      </c>
      <c r="D152" s="38">
        <f>IF('VALE - MG'!AG157="CONFORME ✓",1,0)</f>
        <v/>
      </c>
      <c r="E152" s="38">
        <f>IF('VALE - MG'!AH157="CONFORME ✓",2.5,0)</f>
        <v/>
      </c>
      <c r="F152" s="38">
        <f>IF('VALE - MG'!AI157="CONFORME ✓",2,0)</f>
        <v/>
      </c>
      <c r="G152" s="38">
        <f>IF('VALE - MG'!AJ157="CONFORME ✓",0.5,0)</f>
        <v/>
      </c>
      <c r="H152" s="38">
        <f>SUM(A152:D152)</f>
        <v/>
      </c>
      <c r="I152" s="38">
        <f>SUM(E152:G152)</f>
        <v/>
      </c>
    </row>
    <row r="153">
      <c r="A153" s="38">
        <f>IF('VALE - MG'!L158="CONFORME ✓",2,0)</f>
        <v/>
      </c>
      <c r="B153" s="38">
        <f>IF('VALE - MG'!S158="CONFORME ✓",1,0)</f>
        <v/>
      </c>
      <c r="C153" s="38">
        <f>IF('VALE - MG'!Z158="CONFORME ✓",1,0)</f>
        <v/>
      </c>
      <c r="D153" s="38">
        <f>IF('VALE - MG'!AG158="CONFORME ✓",1,0)</f>
        <v/>
      </c>
      <c r="E153" s="38">
        <f>IF('VALE - MG'!AH158="CONFORME ✓",2.5,0)</f>
        <v/>
      </c>
      <c r="F153" s="38">
        <f>IF('VALE - MG'!AI158="CONFORME ✓",2,0)</f>
        <v/>
      </c>
      <c r="G153" s="38">
        <f>IF('VALE - MG'!AJ158="CONFORME ✓",0.5,0)</f>
        <v/>
      </c>
      <c r="H153" s="38">
        <f>SUM(A153:D153)</f>
        <v/>
      </c>
      <c r="I153" s="38">
        <f>SUM(E153:G153)</f>
        <v/>
      </c>
    </row>
    <row r="154">
      <c r="A154" s="38">
        <f>IF('VALE - MG'!L159="CONFORME ✓",2,0)</f>
        <v/>
      </c>
      <c r="B154" s="38">
        <f>IF('VALE - MG'!S159="CONFORME ✓",1,0)</f>
        <v/>
      </c>
      <c r="C154" s="38">
        <f>IF('VALE - MG'!Z159="CONFORME ✓",1,0)</f>
        <v/>
      </c>
      <c r="D154" s="38">
        <f>IF('VALE - MG'!AG159="CONFORME ✓",1,0)</f>
        <v/>
      </c>
      <c r="E154" s="38">
        <f>IF('VALE - MG'!AH159="CONFORME ✓",2.5,0)</f>
        <v/>
      </c>
      <c r="F154" s="38">
        <f>IF('VALE - MG'!AI159="CONFORME ✓",2,0)</f>
        <v/>
      </c>
      <c r="G154" s="38">
        <f>IF('VALE - MG'!AJ159="CONFORME ✓",0.5,0)</f>
        <v/>
      </c>
      <c r="H154" s="38">
        <f>SUM(A154:D154)</f>
        <v/>
      </c>
      <c r="I154" s="38">
        <f>SUM(E154:G154)</f>
        <v/>
      </c>
    </row>
    <row r="155">
      <c r="A155" s="38">
        <f>IF('VALE - MG'!L160="CONFORME ✓",2,0)</f>
        <v/>
      </c>
      <c r="B155" s="38">
        <f>IF('VALE - MG'!S160="CONFORME ✓",1,0)</f>
        <v/>
      </c>
      <c r="C155" s="38">
        <f>IF('VALE - MG'!Z160="CONFORME ✓",1,0)</f>
        <v/>
      </c>
      <c r="D155" s="38">
        <f>IF('VALE - MG'!AG160="CONFORME ✓",1,0)</f>
        <v/>
      </c>
      <c r="E155" s="38">
        <f>IF('VALE - MG'!AH160="CONFORME ✓",2.5,0)</f>
        <v/>
      </c>
      <c r="F155" s="38">
        <f>IF('VALE - MG'!AI160="CONFORME ✓",2,0)</f>
        <v/>
      </c>
      <c r="G155" s="38">
        <f>IF('VALE - MG'!AJ160="CONFORME ✓",0.5,0)</f>
        <v/>
      </c>
      <c r="H155" s="38">
        <f>SUM(A155:D155)</f>
        <v/>
      </c>
      <c r="I155" s="38">
        <f>SUM(E155:G155)</f>
        <v/>
      </c>
    </row>
    <row r="156">
      <c r="A156" s="38">
        <f>IF('VALE - MG'!L161="CONFORME ✓",2,0)</f>
        <v/>
      </c>
      <c r="B156" s="38">
        <f>IF('VALE - MG'!S161="CONFORME ✓",1,0)</f>
        <v/>
      </c>
      <c r="C156" s="38">
        <f>IF('VALE - MG'!Z161="CONFORME ✓",1,0)</f>
        <v/>
      </c>
      <c r="D156" s="38">
        <f>IF('VALE - MG'!AG161="CONFORME ✓",1,0)</f>
        <v/>
      </c>
      <c r="E156" s="38">
        <f>IF('VALE - MG'!AH161="CONFORME ✓",2.5,0)</f>
        <v/>
      </c>
      <c r="F156" s="38">
        <f>IF('VALE - MG'!AI161="CONFORME ✓",2,0)</f>
        <v/>
      </c>
      <c r="G156" s="38">
        <f>IF('VALE - MG'!AJ161="CONFORME ✓",0.5,0)</f>
        <v/>
      </c>
      <c r="H156" s="38">
        <f>SUM(A156:D156)</f>
        <v/>
      </c>
      <c r="I156" s="38">
        <f>SUM(E156:G156)</f>
        <v/>
      </c>
    </row>
    <row r="157">
      <c r="A157" s="38">
        <f>IF('VALE - MG'!L162="CONFORME ✓",2,0)</f>
        <v/>
      </c>
      <c r="B157" s="38">
        <f>IF('VALE - MG'!S162="CONFORME ✓",1,0)</f>
        <v/>
      </c>
      <c r="C157" s="38">
        <f>IF('VALE - MG'!Z162="CONFORME ✓",1,0)</f>
        <v/>
      </c>
      <c r="D157" s="38">
        <f>IF('VALE - MG'!AG162="CONFORME ✓",1,0)</f>
        <v/>
      </c>
      <c r="E157" s="38">
        <f>IF('VALE - MG'!AH162="CONFORME ✓",2.5,0)</f>
        <v/>
      </c>
      <c r="F157" s="38">
        <f>IF('VALE - MG'!AI162="CONFORME ✓",2,0)</f>
        <v/>
      </c>
      <c r="G157" s="38">
        <f>IF('VALE - MG'!AJ162="CONFORME ✓",0.5,0)</f>
        <v/>
      </c>
      <c r="H157" s="38">
        <f>SUM(A157:D157)</f>
        <v/>
      </c>
      <c r="I157" s="38">
        <f>SUM(E157:G157)</f>
        <v/>
      </c>
    </row>
    <row r="158">
      <c r="A158" s="38">
        <f>IF('VALE - MG'!L163="CONFORME ✓",2,0)</f>
        <v/>
      </c>
      <c r="B158" s="38">
        <f>IF('VALE - MG'!S163="CONFORME ✓",1,0)</f>
        <v/>
      </c>
      <c r="C158" s="38">
        <f>IF('VALE - MG'!Z163="CONFORME ✓",1,0)</f>
        <v/>
      </c>
      <c r="D158" s="38">
        <f>IF('VALE - MG'!AG163="CONFORME ✓",1,0)</f>
        <v/>
      </c>
      <c r="E158" s="38">
        <f>IF('VALE - MG'!AH163="CONFORME ✓",2.5,0)</f>
        <v/>
      </c>
      <c r="F158" s="38">
        <f>IF('VALE - MG'!AI163="CONFORME ✓",2,0)</f>
        <v/>
      </c>
      <c r="G158" s="38">
        <f>IF('VALE - MG'!AJ163="CONFORME ✓",0.5,0)</f>
        <v/>
      </c>
      <c r="H158" s="38">
        <f>SUM(A158:D158)</f>
        <v/>
      </c>
      <c r="I158" s="38">
        <f>SUM(E158:G158)</f>
        <v/>
      </c>
    </row>
    <row r="159">
      <c r="A159" s="38">
        <f>IF('VALE - MG'!L164="CONFORME ✓",2,0)</f>
        <v/>
      </c>
      <c r="B159" s="38">
        <f>IF('VALE - MG'!S164="CONFORME ✓",1,0)</f>
        <v/>
      </c>
      <c r="C159" s="38">
        <f>IF('VALE - MG'!Z164="CONFORME ✓",1,0)</f>
        <v/>
      </c>
      <c r="D159" s="38">
        <f>IF('VALE - MG'!AG164="CONFORME ✓",1,0)</f>
        <v/>
      </c>
      <c r="E159" s="38">
        <f>IF('VALE - MG'!AH164="CONFORME ✓",2.5,0)</f>
        <v/>
      </c>
      <c r="F159" s="38">
        <f>IF('VALE - MG'!AI164="CONFORME ✓",2,0)</f>
        <v/>
      </c>
      <c r="G159" s="38">
        <f>IF('VALE - MG'!AJ164="CONFORME ✓",0.5,0)</f>
        <v/>
      </c>
      <c r="H159" s="38">
        <f>SUM(A159:D159)</f>
        <v/>
      </c>
      <c r="I159" s="38">
        <f>SUM(E159:G159)</f>
        <v/>
      </c>
    </row>
    <row r="160">
      <c r="A160" s="38">
        <f>IF('VALE - MG'!L165="CONFORME ✓",2,0)</f>
        <v/>
      </c>
      <c r="B160" s="38">
        <f>IF('VALE - MG'!S165="CONFORME ✓",1,0)</f>
        <v/>
      </c>
      <c r="C160" s="38">
        <f>IF('VALE - MG'!Z165="CONFORME ✓",1,0)</f>
        <v/>
      </c>
      <c r="D160" s="38">
        <f>IF('VALE - MG'!AG165="CONFORME ✓",1,0)</f>
        <v/>
      </c>
      <c r="E160" s="38">
        <f>IF('VALE - MG'!AH165="CONFORME ✓",2.5,0)</f>
        <v/>
      </c>
      <c r="F160" s="38">
        <f>IF('VALE - MG'!AI165="CONFORME ✓",2,0)</f>
        <v/>
      </c>
      <c r="G160" s="38">
        <f>IF('VALE - MG'!AJ165="CONFORME ✓",0.5,0)</f>
        <v/>
      </c>
      <c r="H160" s="38">
        <f>SUM(A160:D160)</f>
        <v/>
      </c>
      <c r="I160" s="38">
        <f>SUM(E160:G160)</f>
        <v/>
      </c>
    </row>
    <row r="161">
      <c r="A161" s="38">
        <f>IF('VALE - MG'!L166="CONFORME ✓",2,0)</f>
        <v/>
      </c>
      <c r="B161" s="38">
        <f>IF('VALE - MG'!S166="CONFORME ✓",1,0)</f>
        <v/>
      </c>
      <c r="C161" s="38">
        <f>IF('VALE - MG'!Z166="CONFORME ✓",1,0)</f>
        <v/>
      </c>
      <c r="D161" s="38">
        <f>IF('VALE - MG'!AG166="CONFORME ✓",1,0)</f>
        <v/>
      </c>
      <c r="E161" s="38">
        <f>IF('VALE - MG'!AH166="CONFORME ✓",2.5,0)</f>
        <v/>
      </c>
      <c r="F161" s="38">
        <f>IF('VALE - MG'!AI166="CONFORME ✓",2,0)</f>
        <v/>
      </c>
      <c r="G161" s="38">
        <f>IF('VALE - MG'!AJ166="CONFORME ✓",0.5,0)</f>
        <v/>
      </c>
      <c r="H161" s="38">
        <f>SUM(A161:D161)</f>
        <v/>
      </c>
      <c r="I161" s="38">
        <f>SUM(E161:G161)</f>
        <v/>
      </c>
    </row>
    <row r="162">
      <c r="A162" s="38">
        <f>IF('VALE - MG'!L167="CONFORME ✓",2,0)</f>
        <v/>
      </c>
      <c r="B162" s="38">
        <f>IF('VALE - MG'!S167="CONFORME ✓",1,0)</f>
        <v/>
      </c>
      <c r="C162" s="38">
        <f>IF('VALE - MG'!Z167="CONFORME ✓",1,0)</f>
        <v/>
      </c>
      <c r="D162" s="38">
        <f>IF('VALE - MG'!AG167="CONFORME ✓",1,0)</f>
        <v/>
      </c>
      <c r="E162" s="38">
        <f>IF('VALE - MG'!AH167="CONFORME ✓",2.5,0)</f>
        <v/>
      </c>
      <c r="F162" s="38">
        <f>IF('VALE - MG'!AI167="CONFORME ✓",2,0)</f>
        <v/>
      </c>
      <c r="G162" s="38">
        <f>IF('VALE - MG'!AJ167="CONFORME ✓",0.5,0)</f>
        <v/>
      </c>
      <c r="H162" s="38">
        <f>SUM(A162:D162)</f>
        <v/>
      </c>
      <c r="I162" s="38">
        <f>SUM(E162:G162)</f>
        <v/>
      </c>
    </row>
    <row r="163">
      <c r="A163" s="38">
        <f>IF('VALE - MG'!L168="CONFORME ✓",2,0)</f>
        <v/>
      </c>
      <c r="B163" s="38">
        <f>IF('VALE - MG'!S168="CONFORME ✓",1,0)</f>
        <v/>
      </c>
      <c r="C163" s="38">
        <f>IF('VALE - MG'!Z168="CONFORME ✓",1,0)</f>
        <v/>
      </c>
      <c r="D163" s="38">
        <f>IF('VALE - MG'!AG168="CONFORME ✓",1,0)</f>
        <v/>
      </c>
      <c r="E163" s="38">
        <f>IF('VALE - MG'!AH168="CONFORME ✓",2.5,0)</f>
        <v/>
      </c>
      <c r="F163" s="38">
        <f>IF('VALE - MG'!AI168="CONFORME ✓",2,0)</f>
        <v/>
      </c>
      <c r="G163" s="38">
        <f>IF('VALE - MG'!AJ168="CONFORME ✓",0.5,0)</f>
        <v/>
      </c>
      <c r="H163" s="38">
        <f>SUM(A163:D163)</f>
        <v/>
      </c>
      <c r="I163" s="38">
        <f>SUM(E163:G163)</f>
        <v/>
      </c>
    </row>
    <row r="164">
      <c r="A164" s="38">
        <f>IF('VALE - MG'!L169="CONFORME ✓",2,0)</f>
        <v/>
      </c>
      <c r="B164" s="38">
        <f>IF('VALE - MG'!S169="CONFORME ✓",1,0)</f>
        <v/>
      </c>
      <c r="C164" s="38">
        <f>IF('VALE - MG'!Z169="CONFORME ✓",1,0)</f>
        <v/>
      </c>
      <c r="D164" s="38">
        <f>IF('VALE - MG'!AG169="CONFORME ✓",1,0)</f>
        <v/>
      </c>
      <c r="E164" s="38">
        <f>IF('VALE - MG'!AH169="CONFORME ✓",2.5,0)</f>
        <v/>
      </c>
      <c r="F164" s="38">
        <f>IF('VALE - MG'!AI169="CONFORME ✓",2,0)</f>
        <v/>
      </c>
      <c r="G164" s="38">
        <f>IF('VALE - MG'!AJ169="CONFORME ✓",0.5,0)</f>
        <v/>
      </c>
      <c r="H164" s="38">
        <f>SUM(A164:D164)</f>
        <v/>
      </c>
      <c r="I164" s="38">
        <f>SUM(E164:G164)</f>
        <v/>
      </c>
    </row>
    <row r="165">
      <c r="A165" s="38">
        <f>IF('VALE - MG'!L170="CONFORME ✓",2,0)</f>
        <v/>
      </c>
      <c r="B165" s="38">
        <f>IF('VALE - MG'!S170="CONFORME ✓",1,0)</f>
        <v/>
      </c>
      <c r="C165" s="38">
        <f>IF('VALE - MG'!Z170="CONFORME ✓",1,0)</f>
        <v/>
      </c>
      <c r="D165" s="38">
        <f>IF('VALE - MG'!AG170="CONFORME ✓",1,0)</f>
        <v/>
      </c>
      <c r="E165" s="38">
        <f>IF('VALE - MG'!AH170="CONFORME ✓",2.5,0)</f>
        <v/>
      </c>
      <c r="F165" s="38">
        <f>IF('VALE - MG'!AI170="CONFORME ✓",2,0)</f>
        <v/>
      </c>
      <c r="G165" s="38">
        <f>IF('VALE - MG'!AJ170="CONFORME ✓",0.5,0)</f>
        <v/>
      </c>
      <c r="H165" s="38">
        <f>SUM(A165:D165)</f>
        <v/>
      </c>
      <c r="I165" s="38">
        <f>SUM(E165:G165)</f>
        <v/>
      </c>
    </row>
    <row r="166">
      <c r="A166" s="38">
        <f>IF('VALE - MG'!L171="CONFORME ✓",2,0)</f>
        <v/>
      </c>
      <c r="B166" s="38">
        <f>IF('VALE - MG'!S171="CONFORME ✓",1,0)</f>
        <v/>
      </c>
      <c r="C166" s="38">
        <f>IF('VALE - MG'!Z171="CONFORME ✓",1,0)</f>
        <v/>
      </c>
      <c r="D166" s="38">
        <f>IF('VALE - MG'!AG171="CONFORME ✓",1,0)</f>
        <v/>
      </c>
      <c r="E166" s="38">
        <f>IF('VALE - MG'!AH171="CONFORME ✓",2.5,0)</f>
        <v/>
      </c>
      <c r="F166" s="38">
        <f>IF('VALE - MG'!AI171="CONFORME ✓",2,0)</f>
        <v/>
      </c>
      <c r="G166" s="38">
        <f>IF('VALE - MG'!AJ171="CONFORME ✓",0.5,0)</f>
        <v/>
      </c>
      <c r="H166" s="38">
        <f>SUM(A166:D166)</f>
        <v/>
      </c>
      <c r="I166" s="38">
        <f>SUM(E166:G166)</f>
        <v/>
      </c>
    </row>
    <row r="167">
      <c r="A167" s="38">
        <f>IF('VALE - MG'!L172="CONFORME ✓",2,0)</f>
        <v/>
      </c>
      <c r="B167" s="38">
        <f>IF('VALE - MG'!S172="CONFORME ✓",1,0)</f>
        <v/>
      </c>
      <c r="C167" s="38">
        <f>IF('VALE - MG'!Z172="CONFORME ✓",1,0)</f>
        <v/>
      </c>
      <c r="D167" s="38">
        <f>IF('VALE - MG'!AG172="CONFORME ✓",1,0)</f>
        <v/>
      </c>
      <c r="E167" s="38">
        <f>IF('VALE - MG'!AH172="CONFORME ✓",2.5,0)</f>
        <v/>
      </c>
      <c r="F167" s="38">
        <f>IF('VALE - MG'!AI172="CONFORME ✓",2,0)</f>
        <v/>
      </c>
      <c r="G167" s="38">
        <f>IF('VALE - MG'!AJ172="CONFORME ✓",0.5,0)</f>
        <v/>
      </c>
      <c r="H167" s="38">
        <f>SUM(A167:D167)</f>
        <v/>
      </c>
      <c r="I167" s="38">
        <f>SUM(E167:G167)</f>
        <v/>
      </c>
    </row>
    <row r="168">
      <c r="A168" s="38">
        <f>IF('VALE - MG'!L173="CONFORME ✓",2,0)</f>
        <v/>
      </c>
      <c r="B168" s="38">
        <f>IF('VALE - MG'!S173="CONFORME ✓",1,0)</f>
        <v/>
      </c>
      <c r="C168" s="38">
        <f>IF('VALE - MG'!Z173="CONFORME ✓",1,0)</f>
        <v/>
      </c>
      <c r="D168" s="38">
        <f>IF('VALE - MG'!AG173="CONFORME ✓",1,0)</f>
        <v/>
      </c>
      <c r="E168" s="38">
        <f>IF('VALE - MG'!AH173="CONFORME ✓",2.5,0)</f>
        <v/>
      </c>
      <c r="F168" s="38">
        <f>IF('VALE - MG'!AI173="CONFORME ✓",2,0)</f>
        <v/>
      </c>
      <c r="G168" s="38">
        <f>IF('VALE - MG'!AJ173="CONFORME ✓",0.5,0)</f>
        <v/>
      </c>
      <c r="H168" s="38">
        <f>SUM(A168:D168)</f>
        <v/>
      </c>
      <c r="I168" s="38">
        <f>SUM(E168:G168)</f>
        <v/>
      </c>
    </row>
    <row r="169">
      <c r="A169" s="38">
        <f>IF('VALE - MG'!L174="CONFORME ✓",2,0)</f>
        <v/>
      </c>
      <c r="B169" s="38">
        <f>IF('VALE - MG'!S174="CONFORME ✓",1,0)</f>
        <v/>
      </c>
      <c r="C169" s="38">
        <f>IF('VALE - MG'!Z174="CONFORME ✓",1,0)</f>
        <v/>
      </c>
      <c r="D169" s="38">
        <f>IF('VALE - MG'!AG174="CONFORME ✓",1,0)</f>
        <v/>
      </c>
      <c r="E169" s="38">
        <f>IF('VALE - MG'!AH174="CONFORME ✓",2.5,0)</f>
        <v/>
      </c>
      <c r="F169" s="38">
        <f>IF('VALE - MG'!AI174="CONFORME ✓",2,0)</f>
        <v/>
      </c>
      <c r="G169" s="38">
        <f>IF('VALE - MG'!AJ174="CONFORME ✓",0.5,0)</f>
        <v/>
      </c>
      <c r="H169" s="38">
        <f>SUM(A169:D169)</f>
        <v/>
      </c>
      <c r="I169" s="38">
        <f>SUM(E169:G169)</f>
        <v/>
      </c>
    </row>
    <row r="170">
      <c r="A170" s="38">
        <f>IF('VALE - MG'!L175="CONFORME ✓",2,0)</f>
        <v/>
      </c>
      <c r="B170" s="38">
        <f>IF('VALE - MG'!S175="CONFORME ✓",1,0)</f>
        <v/>
      </c>
      <c r="C170" s="38">
        <f>IF('VALE - MG'!Z175="CONFORME ✓",1,0)</f>
        <v/>
      </c>
      <c r="D170" s="38">
        <f>IF('VALE - MG'!AG175="CONFORME ✓",1,0)</f>
        <v/>
      </c>
      <c r="E170" s="38">
        <f>IF('VALE - MG'!AH175="CONFORME ✓",2.5,0)</f>
        <v/>
      </c>
      <c r="F170" s="38">
        <f>IF('VALE - MG'!AI175="CONFORME ✓",2,0)</f>
        <v/>
      </c>
      <c r="G170" s="38">
        <f>IF('VALE - MG'!AJ175="CONFORME ✓",0.5,0)</f>
        <v/>
      </c>
      <c r="H170" s="38">
        <f>SUM(A170:D170)</f>
        <v/>
      </c>
      <c r="I170" s="38">
        <f>SUM(E170:G170)</f>
        <v/>
      </c>
    </row>
    <row r="171">
      <c r="A171" s="38">
        <f>IF('VALE - MG'!L176="CONFORME ✓",2,0)</f>
        <v/>
      </c>
      <c r="B171" s="38">
        <f>IF('VALE - MG'!S176="CONFORME ✓",1,0)</f>
        <v/>
      </c>
      <c r="C171" s="38">
        <f>IF('VALE - MG'!Z176="CONFORME ✓",1,0)</f>
        <v/>
      </c>
      <c r="D171" s="38">
        <f>IF('VALE - MG'!AG176="CONFORME ✓",1,0)</f>
        <v/>
      </c>
      <c r="E171" s="38">
        <f>IF('VALE - MG'!AH176="CONFORME ✓",2.5,0)</f>
        <v/>
      </c>
      <c r="F171" s="38">
        <f>IF('VALE - MG'!AI176="CONFORME ✓",2,0)</f>
        <v/>
      </c>
      <c r="G171" s="38">
        <f>IF('VALE - MG'!AJ176="CONFORME ✓",0.5,0)</f>
        <v/>
      </c>
      <c r="H171" s="38">
        <f>SUM(A171:D171)</f>
        <v/>
      </c>
      <c r="I171" s="38">
        <f>SUM(E171:G171)</f>
        <v/>
      </c>
    </row>
    <row r="172">
      <c r="A172" s="38">
        <f>IF('VALE - MG'!L177="CONFORME ✓",2,0)</f>
        <v/>
      </c>
      <c r="B172" s="38">
        <f>IF('VALE - MG'!S177="CONFORME ✓",1,0)</f>
        <v/>
      </c>
      <c r="C172" s="38">
        <f>IF('VALE - MG'!Z177="CONFORME ✓",1,0)</f>
        <v/>
      </c>
      <c r="D172" s="38">
        <f>IF('VALE - MG'!AG177="CONFORME ✓",1,0)</f>
        <v/>
      </c>
      <c r="E172" s="38">
        <f>IF('VALE - MG'!AH177="CONFORME ✓",2.5,0)</f>
        <v/>
      </c>
      <c r="F172" s="38">
        <f>IF('VALE - MG'!AI177="CONFORME ✓",2,0)</f>
        <v/>
      </c>
      <c r="G172" s="38">
        <f>IF('VALE - MG'!AJ177="CONFORME ✓",0.5,0)</f>
        <v/>
      </c>
      <c r="H172" s="38">
        <f>SUM(A172:D172)</f>
        <v/>
      </c>
      <c r="I172" s="38">
        <f>SUM(E172:G172)</f>
        <v/>
      </c>
    </row>
    <row r="173">
      <c r="A173" s="38">
        <f>IF('VALE - MG'!L178="CONFORME ✓",2,0)</f>
        <v/>
      </c>
      <c r="B173" s="38">
        <f>IF('VALE - MG'!S178="CONFORME ✓",1,0)</f>
        <v/>
      </c>
      <c r="C173" s="38">
        <f>IF('VALE - MG'!Z178="CONFORME ✓",1,0)</f>
        <v/>
      </c>
      <c r="D173" s="38">
        <f>IF('VALE - MG'!AG178="CONFORME ✓",1,0)</f>
        <v/>
      </c>
      <c r="E173" s="38">
        <f>IF('VALE - MG'!AH178="CONFORME ✓",2.5,0)</f>
        <v/>
      </c>
      <c r="F173" s="38">
        <f>IF('VALE - MG'!AI178="CONFORME ✓",2,0)</f>
        <v/>
      </c>
      <c r="G173" s="38">
        <f>IF('VALE - MG'!AJ178="CONFORME ✓",0.5,0)</f>
        <v/>
      </c>
      <c r="H173" s="38">
        <f>SUM(A173:D173)</f>
        <v/>
      </c>
      <c r="I173" s="38">
        <f>SUM(E173:G173)</f>
        <v/>
      </c>
    </row>
    <row r="174">
      <c r="A174" s="38">
        <f>IF('VALE - MG'!L179="CONFORME ✓",2,0)</f>
        <v/>
      </c>
      <c r="B174" s="38">
        <f>IF('VALE - MG'!S179="CONFORME ✓",1,0)</f>
        <v/>
      </c>
      <c r="C174" s="38">
        <f>IF('VALE - MG'!Z179="CONFORME ✓",1,0)</f>
        <v/>
      </c>
      <c r="D174" s="38">
        <f>IF('VALE - MG'!AG179="CONFORME ✓",1,0)</f>
        <v/>
      </c>
      <c r="E174" s="38">
        <f>IF('VALE - MG'!AH179="CONFORME ✓",2.5,0)</f>
        <v/>
      </c>
      <c r="F174" s="38">
        <f>IF('VALE - MG'!AI179="CONFORME ✓",2,0)</f>
        <v/>
      </c>
      <c r="G174" s="38">
        <f>IF('VALE - MG'!AJ179="CONFORME ✓",0.5,0)</f>
        <v/>
      </c>
      <c r="H174" s="38">
        <f>SUM(A174:D174)</f>
        <v/>
      </c>
      <c r="I174" s="38">
        <f>SUM(E174:G174)</f>
        <v/>
      </c>
    </row>
    <row r="175">
      <c r="A175" s="38">
        <f>IF('VALE - MG'!L180="CONFORME ✓",2,0)</f>
        <v/>
      </c>
      <c r="B175" s="38">
        <f>IF('VALE - MG'!S180="CONFORME ✓",1,0)</f>
        <v/>
      </c>
      <c r="C175" s="38">
        <f>IF('VALE - MG'!Z180="CONFORME ✓",1,0)</f>
        <v/>
      </c>
      <c r="D175" s="38">
        <f>IF('VALE - MG'!AG180="CONFORME ✓",1,0)</f>
        <v/>
      </c>
      <c r="E175" s="38">
        <f>IF('VALE - MG'!AH180="CONFORME ✓",2.5,0)</f>
        <v/>
      </c>
      <c r="F175" s="38">
        <f>IF('VALE - MG'!AI180="CONFORME ✓",2,0)</f>
        <v/>
      </c>
      <c r="G175" s="38">
        <f>IF('VALE - MG'!AJ180="CONFORME ✓",0.5,0)</f>
        <v/>
      </c>
      <c r="H175" s="38">
        <f>SUM(A175:D175)</f>
        <v/>
      </c>
      <c r="I175" s="38">
        <f>SUM(E175:G175)</f>
        <v/>
      </c>
    </row>
    <row r="176">
      <c r="A176" s="38">
        <f>IF('VALE - MG'!L181="CONFORME ✓",2,0)</f>
        <v/>
      </c>
      <c r="B176" s="38">
        <f>IF('VALE - MG'!S181="CONFORME ✓",1,0)</f>
        <v/>
      </c>
      <c r="C176" s="38">
        <f>IF('VALE - MG'!Z181="CONFORME ✓",1,0)</f>
        <v/>
      </c>
      <c r="D176" s="38">
        <f>IF('VALE - MG'!AG181="CONFORME ✓",1,0)</f>
        <v/>
      </c>
      <c r="E176" s="38">
        <f>IF('VALE - MG'!AH181="CONFORME ✓",2.5,0)</f>
        <v/>
      </c>
      <c r="F176" s="38">
        <f>IF('VALE - MG'!AI181="CONFORME ✓",2,0)</f>
        <v/>
      </c>
      <c r="G176" s="38">
        <f>IF('VALE - MG'!AJ181="CONFORME ✓",0.5,0)</f>
        <v/>
      </c>
      <c r="H176" s="38">
        <f>SUM(A176:D176)</f>
        <v/>
      </c>
      <c r="I176" s="38">
        <f>SUM(E176:G176)</f>
        <v/>
      </c>
    </row>
    <row r="177">
      <c r="A177" s="38">
        <f>IF('VALE - MG'!L182="CONFORME ✓",2,0)</f>
        <v/>
      </c>
      <c r="B177" s="38">
        <f>IF('VALE - MG'!S182="CONFORME ✓",1,0)</f>
        <v/>
      </c>
      <c r="C177" s="38">
        <f>IF('VALE - MG'!Z182="CONFORME ✓",1,0)</f>
        <v/>
      </c>
      <c r="D177" s="38">
        <f>IF('VALE - MG'!AG182="CONFORME ✓",1,0)</f>
        <v/>
      </c>
      <c r="E177" s="38">
        <f>IF('VALE - MG'!AH182="CONFORME ✓",2.5,0)</f>
        <v/>
      </c>
      <c r="F177" s="38">
        <f>IF('VALE - MG'!AI182="CONFORME ✓",2,0)</f>
        <v/>
      </c>
      <c r="G177" s="38">
        <f>IF('VALE - MG'!AJ182="CONFORME ✓",0.5,0)</f>
        <v/>
      </c>
      <c r="H177" s="38">
        <f>SUM(A177:D177)</f>
        <v/>
      </c>
      <c r="I177" s="38">
        <f>SUM(E177:G177)</f>
        <v/>
      </c>
    </row>
    <row r="178">
      <c r="A178" s="38">
        <f>IF('VALE - MG'!L183="CONFORME ✓",2,0)</f>
        <v/>
      </c>
      <c r="B178" s="38">
        <f>IF('VALE - MG'!S183="CONFORME ✓",1,0)</f>
        <v/>
      </c>
      <c r="C178" s="38">
        <f>IF('VALE - MG'!Z183="CONFORME ✓",1,0)</f>
        <v/>
      </c>
      <c r="D178" s="38">
        <f>IF('VALE - MG'!AG183="CONFORME ✓",1,0)</f>
        <v/>
      </c>
      <c r="E178" s="38">
        <f>IF('VALE - MG'!AH183="CONFORME ✓",2.5,0)</f>
        <v/>
      </c>
      <c r="F178" s="38">
        <f>IF('VALE - MG'!AI183="CONFORME ✓",2,0)</f>
        <v/>
      </c>
      <c r="G178" s="38">
        <f>IF('VALE - MG'!AJ183="CONFORME ✓",0.5,0)</f>
        <v/>
      </c>
      <c r="H178" s="38">
        <f>SUM(A178:D178)</f>
        <v/>
      </c>
      <c r="I178" s="38">
        <f>SUM(E178:G178)</f>
        <v/>
      </c>
    </row>
    <row r="179">
      <c r="A179" s="38">
        <f>IF('VALE - MG'!L184="CONFORME ✓",2,0)</f>
        <v/>
      </c>
      <c r="B179" s="38">
        <f>IF('VALE - MG'!S184="CONFORME ✓",1,0)</f>
        <v/>
      </c>
      <c r="C179" s="38">
        <f>IF('VALE - MG'!Z184="CONFORME ✓",1,0)</f>
        <v/>
      </c>
      <c r="D179" s="38">
        <f>IF('VALE - MG'!AG184="CONFORME ✓",1,0)</f>
        <v/>
      </c>
      <c r="E179" s="38">
        <f>IF('VALE - MG'!AH184="CONFORME ✓",2.5,0)</f>
        <v/>
      </c>
      <c r="F179" s="38">
        <f>IF('VALE - MG'!AI184="CONFORME ✓",2,0)</f>
        <v/>
      </c>
      <c r="G179" s="38">
        <f>IF('VALE - MG'!AJ184="CONFORME ✓",0.5,0)</f>
        <v/>
      </c>
      <c r="H179" s="38">
        <f>SUM(A179:D179)</f>
        <v/>
      </c>
      <c r="I179" s="38">
        <f>SUM(E179:G179)</f>
        <v/>
      </c>
    </row>
    <row r="180">
      <c r="A180" s="38">
        <f>IF('VALE - MG'!L185="CONFORME ✓",2,0)</f>
        <v/>
      </c>
      <c r="B180" s="38">
        <f>IF('VALE - MG'!S185="CONFORME ✓",1,0)</f>
        <v/>
      </c>
      <c r="C180" s="38">
        <f>IF('VALE - MG'!Z185="CONFORME ✓",1,0)</f>
        <v/>
      </c>
      <c r="D180" s="38">
        <f>IF('VALE - MG'!AG185="CONFORME ✓",1,0)</f>
        <v/>
      </c>
      <c r="E180" s="38">
        <f>IF('VALE - MG'!AH185="CONFORME ✓",2.5,0)</f>
        <v/>
      </c>
      <c r="F180" s="38">
        <f>IF('VALE - MG'!AI185="CONFORME ✓",2,0)</f>
        <v/>
      </c>
      <c r="G180" s="38">
        <f>IF('VALE - MG'!AJ185="CONFORME ✓",0.5,0)</f>
        <v/>
      </c>
      <c r="H180" s="38">
        <f>SUM(A180:D180)</f>
        <v/>
      </c>
      <c r="I180" s="38">
        <f>SUM(E180:G180)</f>
        <v/>
      </c>
    </row>
    <row r="181">
      <c r="A181" s="38">
        <f>IF('VALE - MG'!L186="CONFORME ✓",2,0)</f>
        <v/>
      </c>
      <c r="B181" s="38">
        <f>IF('VALE - MG'!S186="CONFORME ✓",1,0)</f>
        <v/>
      </c>
      <c r="C181" s="38">
        <f>IF('VALE - MG'!Z186="CONFORME ✓",1,0)</f>
        <v/>
      </c>
      <c r="D181" s="38">
        <f>IF('VALE - MG'!AG186="CONFORME ✓",1,0)</f>
        <v/>
      </c>
      <c r="E181" s="38">
        <f>IF('VALE - MG'!AH186="CONFORME ✓",2.5,0)</f>
        <v/>
      </c>
      <c r="F181" s="38">
        <f>IF('VALE - MG'!AI186="CONFORME ✓",2,0)</f>
        <v/>
      </c>
      <c r="G181" s="38">
        <f>IF('VALE - MG'!AJ186="CONFORME ✓",0.5,0)</f>
        <v/>
      </c>
      <c r="H181" s="38">
        <f>SUM(A181:D181)</f>
        <v/>
      </c>
      <c r="I181" s="38">
        <f>SUM(E181:G181)</f>
        <v/>
      </c>
    </row>
    <row r="182">
      <c r="A182" s="38">
        <f>IF('VALE - MG'!L187="CONFORME ✓",2,0)</f>
        <v/>
      </c>
      <c r="B182" s="38">
        <f>IF('VALE - MG'!S187="CONFORME ✓",1,0)</f>
        <v/>
      </c>
      <c r="C182" s="38">
        <f>IF('VALE - MG'!Z187="CONFORME ✓",1,0)</f>
        <v/>
      </c>
      <c r="D182" s="38">
        <f>IF('VALE - MG'!AG187="CONFORME ✓",1,0)</f>
        <v/>
      </c>
      <c r="E182" s="38">
        <f>IF('VALE - MG'!AH187="CONFORME ✓",2.5,0)</f>
        <v/>
      </c>
      <c r="F182" s="38">
        <f>IF('VALE - MG'!AI187="CONFORME ✓",2,0)</f>
        <v/>
      </c>
      <c r="G182" s="38">
        <f>IF('VALE - MG'!AJ187="CONFORME ✓",0.5,0)</f>
        <v/>
      </c>
      <c r="H182" s="38">
        <f>SUM(A182:D182)</f>
        <v/>
      </c>
      <c r="I182" s="38">
        <f>SUM(E182:G182)</f>
        <v/>
      </c>
    </row>
    <row r="183">
      <c r="A183" s="38">
        <f>IF('VALE - MG'!L188="CONFORME ✓",2,0)</f>
        <v/>
      </c>
      <c r="B183" s="38">
        <f>IF('VALE - MG'!S188="CONFORME ✓",1,0)</f>
        <v/>
      </c>
      <c r="C183" s="38">
        <f>IF('VALE - MG'!Z188="CONFORME ✓",1,0)</f>
        <v/>
      </c>
      <c r="D183" s="38">
        <f>IF('VALE - MG'!AG188="CONFORME ✓",1,0)</f>
        <v/>
      </c>
      <c r="E183" s="38">
        <f>IF('VALE - MG'!#REF!="CONFORME ✓",2.5,0)</f>
        <v/>
      </c>
      <c r="F183" s="38">
        <f>IF('VALE - MG'!#REF!="CONFORME ✓",2,0)</f>
        <v/>
      </c>
      <c r="G183" s="38">
        <f>IF('VALE - MG'!#REF!="CONFORME ✓",0.5,0)</f>
        <v/>
      </c>
      <c r="H183" s="38">
        <f>SUM(A183:D183)</f>
        <v/>
      </c>
      <c r="I183" s="38">
        <f>SUM(E183:G183)</f>
        <v/>
      </c>
    </row>
    <row r="184">
      <c r="A184" s="38">
        <f>IF('VALE - MG'!L189="CONFORME ✓",2,0)</f>
        <v/>
      </c>
      <c r="B184" s="38">
        <f>IF('VALE - MG'!S189="CONFORME ✓",1,0)</f>
        <v/>
      </c>
      <c r="C184" s="38">
        <f>IF('VALE - MG'!Z189="CONFORME ✓",1,0)</f>
        <v/>
      </c>
      <c r="D184" s="38">
        <f>IF('VALE - MG'!AG189="CONFORME ✓",1,0)</f>
        <v/>
      </c>
      <c r="E184" s="38">
        <f>IF('VALE - MG'!#REF!="CONFORME ✓",2.5,0)</f>
        <v/>
      </c>
      <c r="F184" s="38">
        <f>IF('VALE - MG'!#REF!="CONFORME ✓",2,0)</f>
        <v/>
      </c>
      <c r="G184" s="38">
        <f>IF('VALE - MG'!#REF!="CONFORME ✓",0.5,0)</f>
        <v/>
      </c>
      <c r="H184" s="38">
        <f>SUM(A184:D184)</f>
        <v/>
      </c>
      <c r="I184" s="38">
        <f>SUM(E184:G184)</f>
        <v/>
      </c>
    </row>
    <row r="185">
      <c r="A185" s="38">
        <f>IF('VALE - MG'!L190="CONFORME ✓",2,0)</f>
        <v/>
      </c>
      <c r="B185" s="38">
        <f>IF('VALE - MG'!S190="CONFORME ✓",1,0)</f>
        <v/>
      </c>
      <c r="C185" s="38">
        <f>IF('VALE - MG'!Z190="CONFORME ✓",1,0)</f>
        <v/>
      </c>
      <c r="D185" s="38">
        <f>IF('VALE - MG'!AG190="CONFORME ✓",1,0)</f>
        <v/>
      </c>
      <c r="E185" s="38">
        <f>IF('VALE - MG'!#REF!="CONFORME ✓",2.5,0)</f>
        <v/>
      </c>
      <c r="F185" s="38">
        <f>IF('VALE - MG'!#REF!="CONFORME ✓",2,0)</f>
        <v/>
      </c>
      <c r="G185" s="38">
        <f>IF('VALE - MG'!#REF!="CONFORME ✓",0.5,0)</f>
        <v/>
      </c>
      <c r="H185" s="38">
        <f>SUM(A185:D185)</f>
        <v/>
      </c>
      <c r="I185" s="38">
        <f>SUM(E185:G185)</f>
        <v/>
      </c>
    </row>
    <row r="186">
      <c r="A186" s="38">
        <f>IF('VALE - MG'!L191="CONFORME ✓",2,0)</f>
        <v/>
      </c>
      <c r="B186" s="38">
        <f>IF('VALE - MG'!S191="CONFORME ✓",1,0)</f>
        <v/>
      </c>
      <c r="C186" s="38">
        <f>IF('VALE - MG'!Z191="CONFORME ✓",1,0)</f>
        <v/>
      </c>
      <c r="D186" s="38">
        <f>IF('VALE - MG'!AG191="CONFORME ✓",1,0)</f>
        <v/>
      </c>
      <c r="E186" s="38">
        <f>IF('VALE - MG'!#REF!="CONFORME ✓",2.5,0)</f>
        <v/>
      </c>
      <c r="F186" s="38">
        <f>IF('VALE - MG'!#REF!="CONFORME ✓",2,0)</f>
        <v/>
      </c>
      <c r="G186" s="38">
        <f>IF('VALE - MG'!#REF!="CONFORME ✓",0.5,0)</f>
        <v/>
      </c>
      <c r="H186" s="38">
        <f>SUM(A186:D186)</f>
        <v/>
      </c>
      <c r="I186" s="38">
        <f>SUM(E186:G186)</f>
        <v/>
      </c>
    </row>
    <row r="187">
      <c r="A187" s="38">
        <f>IF('VALE - MG'!L192="CONFORME ✓",2,0)</f>
        <v/>
      </c>
      <c r="B187" s="38">
        <f>IF('VALE - MG'!S192="CONFORME ✓",1,0)</f>
        <v/>
      </c>
      <c r="C187" s="38">
        <f>IF('VALE - MG'!Z192="CONFORME ✓",1,0)</f>
        <v/>
      </c>
      <c r="D187" s="38">
        <f>IF('VALE - MG'!AG192="CONFORME ✓",1,0)</f>
        <v/>
      </c>
      <c r="E187" s="38">
        <f>IF('VALE - MG'!#REF!="CONFORME ✓",2.5,0)</f>
        <v/>
      </c>
      <c r="F187" s="38">
        <f>IF('VALE - MG'!#REF!="CONFORME ✓",2,0)</f>
        <v/>
      </c>
      <c r="G187" s="38">
        <f>IF('VALE - MG'!#REF!="CONFORME ✓",0.5,0)</f>
        <v/>
      </c>
      <c r="H187" s="38">
        <f>SUM(A187:D187)</f>
        <v/>
      </c>
      <c r="I187" s="38">
        <f>SUM(E187:G187)</f>
        <v/>
      </c>
    </row>
    <row r="188">
      <c r="A188" s="38">
        <f>IF('VALE - MG'!L193="CONFORME ✓",2,0)</f>
        <v/>
      </c>
      <c r="B188" s="38">
        <f>IF('VALE - MG'!S193="CONFORME ✓",1,0)</f>
        <v/>
      </c>
      <c r="C188" s="38">
        <f>IF('VALE - MG'!Z193="CONFORME ✓",1,0)</f>
        <v/>
      </c>
      <c r="D188" s="38">
        <f>IF('VALE - MG'!AG193="CONFORME ✓",1,0)</f>
        <v/>
      </c>
      <c r="E188" s="38">
        <f>IF('VALE - MG'!#REF!="CONFORME ✓",2.5,0)</f>
        <v/>
      </c>
      <c r="F188" s="38">
        <f>IF('VALE - MG'!#REF!="CONFORME ✓",2,0)</f>
        <v/>
      </c>
      <c r="G188" s="38">
        <f>IF('VALE - MG'!#REF!="CONFORME ✓",0.5,0)</f>
        <v/>
      </c>
      <c r="H188" s="38">
        <f>SUM(A188:D188)</f>
        <v/>
      </c>
      <c r="I188" s="38">
        <f>SUM(E188:G188)</f>
        <v/>
      </c>
    </row>
    <row r="189">
      <c r="A189" s="38">
        <f>IF('VALE - MG'!L194="CONFORME ✓",2,0)</f>
        <v/>
      </c>
      <c r="B189" s="38">
        <f>IF('VALE - MG'!S194="CONFORME ✓",1,0)</f>
        <v/>
      </c>
      <c r="C189" s="38">
        <f>IF('VALE - MG'!Z194="CONFORME ✓",1,0)</f>
        <v/>
      </c>
      <c r="D189" s="38">
        <f>IF('VALE - MG'!AG194="CONFORME ✓",1,0)</f>
        <v/>
      </c>
      <c r="E189" s="38">
        <f>IF('VALE - MG'!#REF!="CONFORME ✓",2.5,0)</f>
        <v/>
      </c>
      <c r="F189" s="38">
        <f>IF('VALE - MG'!#REF!="CONFORME ✓",2,0)</f>
        <v/>
      </c>
      <c r="G189" s="38">
        <f>IF('VALE - MG'!#REF!="CONFORME ✓",0.5,0)</f>
        <v/>
      </c>
      <c r="H189" s="38">
        <f>SUM(A189:D189)</f>
        <v/>
      </c>
      <c r="I189" s="38">
        <f>SUM(E189:G189)</f>
        <v/>
      </c>
    </row>
    <row r="190">
      <c r="A190" s="38">
        <f>IF('VALE - MG'!L195="CONFORME ✓",2,0)</f>
        <v/>
      </c>
      <c r="B190" s="38">
        <f>IF('VALE - MG'!S195="CONFORME ✓",1,0)</f>
        <v/>
      </c>
      <c r="C190" s="38">
        <f>IF('VALE - MG'!Z195="CONFORME ✓",1,0)</f>
        <v/>
      </c>
      <c r="D190" s="38">
        <f>IF('VALE - MG'!AG195="CONFORME ✓",1,0)</f>
        <v/>
      </c>
      <c r="E190" s="38">
        <f>IF('VALE - MG'!#REF!="CONFORME ✓",2.5,0)</f>
        <v/>
      </c>
      <c r="F190" s="38">
        <f>IF('VALE - MG'!#REF!="CONFORME ✓",2,0)</f>
        <v/>
      </c>
      <c r="G190" s="38">
        <f>IF('VALE - MG'!#REF!="CONFORME ✓",0.5,0)</f>
        <v/>
      </c>
      <c r="H190" s="38">
        <f>SUM(A190:D190)</f>
        <v/>
      </c>
      <c r="I190" s="38">
        <f>SUM(E190:G190)</f>
        <v/>
      </c>
    </row>
    <row r="191">
      <c r="A191" s="38">
        <f>IF('VALE - MG'!L196="CONFORME ✓",2,0)</f>
        <v/>
      </c>
      <c r="B191" s="38">
        <f>IF('VALE - MG'!S196="CONFORME ✓",1,0)</f>
        <v/>
      </c>
      <c r="C191" s="38">
        <f>IF('VALE - MG'!Z196="CONFORME ✓",1,0)</f>
        <v/>
      </c>
      <c r="D191" s="38">
        <f>IF('VALE - MG'!AG196="CONFORME ✓",1,0)</f>
        <v/>
      </c>
      <c r="E191" s="38">
        <f>IF('VALE - MG'!#REF!="CONFORME ✓",2.5,0)</f>
        <v/>
      </c>
      <c r="F191" s="38">
        <f>IF('VALE - MG'!#REF!="CONFORME ✓",2,0)</f>
        <v/>
      </c>
      <c r="G191" s="38">
        <f>IF('VALE - MG'!#REF!="CONFORME ✓",0.5,0)</f>
        <v/>
      </c>
      <c r="H191" s="38">
        <f>SUM(A191:D191)</f>
        <v/>
      </c>
      <c r="I191" s="38">
        <f>SUM(E191:G191)</f>
        <v/>
      </c>
    </row>
    <row r="192">
      <c r="A192" s="38">
        <f>IF('VALE - MG'!L197="CONFORME ✓",2,0)</f>
        <v/>
      </c>
      <c r="B192" s="38">
        <f>IF('VALE - MG'!S197="CONFORME ✓",1,0)</f>
        <v/>
      </c>
      <c r="C192" s="38">
        <f>IF('VALE - MG'!Z197="CONFORME ✓",1,0)</f>
        <v/>
      </c>
      <c r="D192" s="38">
        <f>IF('VALE - MG'!AG197="CONFORME ✓",1,0)</f>
        <v/>
      </c>
      <c r="E192" s="38">
        <f>IF('VALE - MG'!#REF!="CONFORME ✓",2.5,0)</f>
        <v/>
      </c>
      <c r="F192" s="38">
        <f>IF('VALE - MG'!#REF!="CONFORME ✓",2,0)</f>
        <v/>
      </c>
      <c r="G192" s="38">
        <f>IF('VALE - MG'!#REF!="CONFORME ✓",0.5,0)</f>
        <v/>
      </c>
      <c r="H192" s="38">
        <f>SUM(A192:D192)</f>
        <v/>
      </c>
      <c r="I192" s="38">
        <f>SUM(E192:G192)</f>
        <v/>
      </c>
    </row>
    <row r="193">
      <c r="A193" s="38">
        <f>IF('VALE - MG'!L198="CONFORME ✓",2,0)</f>
        <v/>
      </c>
      <c r="B193" s="38">
        <f>IF('VALE - MG'!S198="CONFORME ✓",1,0)</f>
        <v/>
      </c>
      <c r="C193" s="38">
        <f>IF('VALE - MG'!Z198="CONFORME ✓",1,0)</f>
        <v/>
      </c>
      <c r="D193" s="38">
        <f>IF('VALE - MG'!AG198="CONFORME ✓",1,0)</f>
        <v/>
      </c>
      <c r="E193" s="38">
        <f>IF('VALE - MG'!#REF!="CONFORME ✓",2.5,0)</f>
        <v/>
      </c>
      <c r="F193" s="38">
        <f>IF('VALE - MG'!#REF!="CONFORME ✓",2,0)</f>
        <v/>
      </c>
      <c r="G193" s="38">
        <f>IF('VALE - MG'!#REF!="CONFORME ✓",0.5,0)</f>
        <v/>
      </c>
      <c r="H193" s="38">
        <f>SUM(A193:D193)</f>
        <v/>
      </c>
      <c r="I193" s="38">
        <f>SUM(E193:G193)</f>
        <v/>
      </c>
    </row>
    <row r="194">
      <c r="A194" s="38">
        <f>IF('VALE - MG'!L199="CONFORME ✓",2,0)</f>
        <v/>
      </c>
      <c r="B194" s="38">
        <f>IF('VALE - MG'!S199="CONFORME ✓",1,0)</f>
        <v/>
      </c>
      <c r="C194" s="38">
        <f>IF('VALE - MG'!Z199="CONFORME ✓",1,0)</f>
        <v/>
      </c>
      <c r="D194" s="38">
        <f>IF('VALE - MG'!AG199="CONFORME ✓",1,0)</f>
        <v/>
      </c>
      <c r="E194" s="38">
        <f>IF('VALE - MG'!#REF!="CONFORME ✓",2.5,0)</f>
        <v/>
      </c>
      <c r="F194" s="38">
        <f>IF('VALE - MG'!#REF!="CONFORME ✓",2,0)</f>
        <v/>
      </c>
      <c r="G194" s="38">
        <f>IF('VALE - MG'!#REF!="CONFORME ✓",0.5,0)</f>
        <v/>
      </c>
      <c r="H194" s="38">
        <f>SUM(A194:D194)</f>
        <v/>
      </c>
      <c r="I194" s="38">
        <f>SUM(E194:G194)</f>
        <v/>
      </c>
    </row>
    <row r="195">
      <c r="A195" s="38">
        <f>IF('VALE - MG'!L200="CONFORME ✓",2,0)</f>
        <v/>
      </c>
      <c r="B195" s="38">
        <f>IF('VALE - MG'!S200="CONFORME ✓",1,0)</f>
        <v/>
      </c>
      <c r="C195" s="38">
        <f>IF('VALE - MG'!Z200="CONFORME ✓",1,0)</f>
        <v/>
      </c>
      <c r="D195" s="38">
        <f>IF('VALE - MG'!AG200="CONFORME ✓",1,0)</f>
        <v/>
      </c>
      <c r="E195" s="38">
        <f>IF('VALE - MG'!#REF!="CONFORME ✓",2.5,0)</f>
        <v/>
      </c>
      <c r="F195" s="38">
        <f>IF('VALE - MG'!#REF!="CONFORME ✓",2,0)</f>
        <v/>
      </c>
      <c r="G195" s="38">
        <f>IF('VALE - MG'!#REF!="CONFORME ✓",0.5,0)</f>
        <v/>
      </c>
      <c r="H195" s="38">
        <f>SUM(A195:D195)</f>
        <v/>
      </c>
      <c r="I195" s="38">
        <f>SUM(E195:G195)</f>
        <v/>
      </c>
    </row>
    <row r="196">
      <c r="A196" s="38">
        <f>IF('VALE - MG'!L201="CONFORME ✓",2,0)</f>
        <v/>
      </c>
      <c r="B196" s="38">
        <f>IF('VALE - MG'!S201="CONFORME ✓",1,0)</f>
        <v/>
      </c>
      <c r="C196" s="38">
        <f>IF('VALE - MG'!Z201="CONFORME ✓",1,0)</f>
        <v/>
      </c>
      <c r="D196" s="38">
        <f>IF('VALE - MG'!AG201="CONFORME ✓",1,0)</f>
        <v/>
      </c>
      <c r="E196" s="38">
        <f>IF('VALE - MG'!#REF!="CONFORME ✓",2.5,0)</f>
        <v/>
      </c>
      <c r="F196" s="38">
        <f>IF('VALE - MG'!#REF!="CONFORME ✓",2,0)</f>
        <v/>
      </c>
      <c r="G196" s="38">
        <f>IF('VALE - MG'!#REF!="CONFORME ✓",0.5,0)</f>
        <v/>
      </c>
      <c r="H196" s="38">
        <f>SUM(A196:D196)</f>
        <v/>
      </c>
      <c r="I196" s="38">
        <f>SUM(E196:G196)</f>
        <v/>
      </c>
    </row>
    <row r="197">
      <c r="A197" s="38">
        <f>IF('VALE - MG'!L202="CONFORME ✓",2,0)</f>
        <v/>
      </c>
      <c r="B197" s="38">
        <f>IF('VALE - MG'!S202="CONFORME ✓",1,0)</f>
        <v/>
      </c>
      <c r="C197" s="38">
        <f>IF('VALE - MG'!Z202="CONFORME ✓",1,0)</f>
        <v/>
      </c>
      <c r="D197" s="38">
        <f>IF('VALE - MG'!AG202="CONFORME ✓",1,0)</f>
        <v/>
      </c>
      <c r="E197" s="38">
        <f>IF('VALE - MG'!#REF!="CONFORME ✓",2.5,0)</f>
        <v/>
      </c>
      <c r="F197" s="38">
        <f>IF('VALE - MG'!#REF!="CONFORME ✓",2,0)</f>
        <v/>
      </c>
      <c r="G197" s="38">
        <f>IF('VALE - MG'!#REF!="CONFORME ✓",0.5,0)</f>
        <v/>
      </c>
      <c r="H197" s="38">
        <f>SUM(A197:D197)</f>
        <v/>
      </c>
      <c r="I197" s="38">
        <f>SUM(E197:G197)</f>
        <v/>
      </c>
    </row>
    <row r="198">
      <c r="A198" s="38">
        <f>IF('VALE - MG'!L203="CONFORME ✓",2,0)</f>
        <v/>
      </c>
      <c r="B198" s="38">
        <f>IF('VALE - MG'!S203="CONFORME ✓",1,0)</f>
        <v/>
      </c>
      <c r="C198" s="38">
        <f>IF('VALE - MG'!Z203="CONFORME ✓",1,0)</f>
        <v/>
      </c>
      <c r="D198" s="38">
        <f>IF('VALE - MG'!AG203="CONFORME ✓",1,0)</f>
        <v/>
      </c>
      <c r="E198" s="38">
        <f>IF('VALE - MG'!#REF!="CONFORME ✓",2.5,0)</f>
        <v/>
      </c>
      <c r="F198" s="38">
        <f>IF('VALE - MG'!#REF!="CONFORME ✓",2,0)</f>
        <v/>
      </c>
      <c r="G198" s="38">
        <f>IF('VALE - MG'!#REF!="CONFORME ✓",0.5,0)</f>
        <v/>
      </c>
      <c r="H198" s="38">
        <f>SUM(A198:D198)</f>
        <v/>
      </c>
      <c r="I198" s="38">
        <f>SUM(E198:G198)</f>
        <v/>
      </c>
    </row>
    <row r="199">
      <c r="A199" s="38">
        <f>IF('VALE - MG'!L204="CONFORME ✓",2,0)</f>
        <v/>
      </c>
      <c r="B199" s="38">
        <f>IF('VALE - MG'!S204="CONFORME ✓",1,0)</f>
        <v/>
      </c>
      <c r="C199" s="38">
        <f>IF('VALE - MG'!Z204="CONFORME ✓",1,0)</f>
        <v/>
      </c>
      <c r="D199" s="38">
        <f>IF('VALE - MG'!AG204="CONFORME ✓",1,0)</f>
        <v/>
      </c>
      <c r="E199" s="38">
        <f>IF('VALE - MG'!#REF!="CONFORME ✓",2.5,0)</f>
        <v/>
      </c>
      <c r="F199" s="38">
        <f>IF('VALE - MG'!#REF!="CONFORME ✓",2,0)</f>
        <v/>
      </c>
      <c r="G199" s="38">
        <f>IF('VALE - MG'!#REF!="CONFORME ✓",0.5,0)</f>
        <v/>
      </c>
      <c r="H199" s="38">
        <f>SUM(A199:D199)</f>
        <v/>
      </c>
      <c r="I199" s="38">
        <f>SUM(E199:G199)</f>
        <v/>
      </c>
    </row>
    <row r="200">
      <c r="A200" s="38">
        <f>IF('VALE - MG'!L205="CONFORME ✓",2,0)</f>
        <v/>
      </c>
      <c r="B200" s="38">
        <f>IF('VALE - MG'!S205="CONFORME ✓",1,0)</f>
        <v/>
      </c>
      <c r="C200" s="38">
        <f>IF('VALE - MG'!Z205="CONFORME ✓",1,0)</f>
        <v/>
      </c>
      <c r="D200" s="38">
        <f>IF('VALE - MG'!AG205="CONFORME ✓",1,0)</f>
        <v/>
      </c>
      <c r="E200" s="38">
        <f>IF('VALE - MG'!#REF!="CONFORME ✓",2.5,0)</f>
        <v/>
      </c>
      <c r="F200" s="38">
        <f>IF('VALE - MG'!#REF!="CONFORME ✓",2,0)</f>
        <v/>
      </c>
      <c r="G200" s="38">
        <f>IF('VALE - MG'!#REF!="CONFORME ✓",0.5,0)</f>
        <v/>
      </c>
      <c r="H200" s="38">
        <f>SUM(A200:D200)</f>
        <v/>
      </c>
      <c r="I200" s="38">
        <f>SUM(E200:G200)</f>
        <v/>
      </c>
    </row>
    <row r="201">
      <c r="A201" s="38">
        <f>IF('VALE - MG'!L206="CONFORME ✓",2,0)</f>
        <v/>
      </c>
      <c r="B201" s="38">
        <f>IF('VALE - MG'!S206="CONFORME ✓",1,0)</f>
        <v/>
      </c>
      <c r="C201" s="38">
        <f>IF('VALE - MG'!Z206="CONFORME ✓",1,0)</f>
        <v/>
      </c>
      <c r="D201" s="38">
        <f>IF('VALE - MG'!AG206="CONFORME ✓",1,0)</f>
        <v/>
      </c>
      <c r="E201" s="38">
        <f>IF('VALE - MG'!#REF!="CONFORME ✓",2.5,0)</f>
        <v/>
      </c>
      <c r="F201" s="38">
        <f>IF('VALE - MG'!#REF!="CONFORME ✓",2,0)</f>
        <v/>
      </c>
      <c r="G201" s="38">
        <f>IF('VALE - MG'!#REF!="CONFORME ✓",0.5,0)</f>
        <v/>
      </c>
      <c r="H201" s="38">
        <f>SUM(A201:D201)</f>
        <v/>
      </c>
      <c r="I201" s="38">
        <f>SUM(E201:G201)</f>
        <v/>
      </c>
    </row>
    <row r="202">
      <c r="A202" s="38">
        <f>IF('VALE - MG'!L207="CONFORME ✓",2,0)</f>
        <v/>
      </c>
      <c r="B202" s="38">
        <f>IF('VALE - MG'!S207="CONFORME ✓",1,0)</f>
        <v/>
      </c>
      <c r="C202" s="38">
        <f>IF('VALE - MG'!Z207="CONFORME ✓",1,0)</f>
        <v/>
      </c>
      <c r="D202" s="38">
        <f>IF('VALE - MG'!AG207="CONFORME ✓",1,0)</f>
        <v/>
      </c>
      <c r="E202" s="38">
        <f>IF('VALE - MG'!#REF!="CONFORME ✓",2.5,0)</f>
        <v/>
      </c>
      <c r="F202" s="38">
        <f>IF('VALE - MG'!#REF!="CONFORME ✓",2,0)</f>
        <v/>
      </c>
      <c r="G202" s="38">
        <f>IF('VALE - MG'!#REF!="CONFORME ✓",0.5,0)</f>
        <v/>
      </c>
      <c r="H202" s="38">
        <f>SUM(A202:D202)</f>
        <v/>
      </c>
      <c r="I202" s="38">
        <f>SUM(E202:G202)</f>
        <v/>
      </c>
    </row>
    <row r="203">
      <c r="A203" s="38">
        <f>IF('VALE - MG'!L208="CONFORME ✓",2,0)</f>
        <v/>
      </c>
      <c r="B203" s="38">
        <f>IF('VALE - MG'!S208="CONFORME ✓",1,0)</f>
        <v/>
      </c>
      <c r="C203" s="38">
        <f>IF('VALE - MG'!Z208="CONFORME ✓",1,0)</f>
        <v/>
      </c>
      <c r="D203" s="38">
        <f>IF('VALE - MG'!AG208="CONFORME ✓",1,0)</f>
        <v/>
      </c>
      <c r="E203" s="38">
        <f>IF('VALE - MG'!#REF!="CONFORME ✓",2.5,0)</f>
        <v/>
      </c>
      <c r="F203" s="38">
        <f>IF('VALE - MG'!#REF!="CONFORME ✓",2,0)</f>
        <v/>
      </c>
      <c r="G203" s="38">
        <f>IF('VALE - MG'!#REF!="CONFORME ✓",0.5,0)</f>
        <v/>
      </c>
      <c r="H203" s="38">
        <f>SUM(A203:D203)</f>
        <v/>
      </c>
      <c r="I203" s="38">
        <f>SUM(E203:G203)</f>
        <v/>
      </c>
    </row>
    <row r="204">
      <c r="A204" s="38">
        <f>IF('VALE - MG'!L209="CONFORME ✓",2,0)</f>
        <v/>
      </c>
      <c r="B204" s="38">
        <f>IF('VALE - MG'!S209="CONFORME ✓",1,0)</f>
        <v/>
      </c>
      <c r="C204" s="38">
        <f>IF('VALE - MG'!Z209="CONFORME ✓",1,0)</f>
        <v/>
      </c>
      <c r="D204" s="38">
        <f>IF('VALE - MG'!AG209="CONFORME ✓",1,0)</f>
        <v/>
      </c>
      <c r="E204" s="38">
        <f>IF('VALE - MG'!#REF!="CONFORME ✓",2.5,0)</f>
        <v/>
      </c>
      <c r="F204" s="38">
        <f>IF('VALE - MG'!#REF!="CONFORME ✓",2,0)</f>
        <v/>
      </c>
      <c r="G204" s="38">
        <f>IF('VALE - MG'!#REF!="CONFORME ✓",0.5,0)</f>
        <v/>
      </c>
      <c r="H204" s="38">
        <f>SUM(A204:D204)</f>
        <v/>
      </c>
      <c r="I204" s="38">
        <f>SUM(E204:G204)</f>
        <v/>
      </c>
    </row>
    <row r="205">
      <c r="A205" s="38">
        <f>IF('VALE - MG'!L210="CONFORME ✓",2,0)</f>
        <v/>
      </c>
      <c r="B205" s="38">
        <f>IF('VALE - MG'!S210="CONFORME ✓",1,0)</f>
        <v/>
      </c>
      <c r="C205" s="38">
        <f>IF('VALE - MG'!Z210="CONFORME ✓",1,0)</f>
        <v/>
      </c>
      <c r="D205" s="38">
        <f>IF('VALE - MG'!AG210="CONFORME ✓",1,0)</f>
        <v/>
      </c>
      <c r="E205" s="38">
        <f>IF('VALE - MG'!#REF!="CONFORME ✓",2.5,0)</f>
        <v/>
      </c>
      <c r="F205" s="38">
        <f>IF('VALE - MG'!#REF!="CONFORME ✓",2,0)</f>
        <v/>
      </c>
      <c r="G205" s="38">
        <f>IF('VALE - MG'!#REF!="CONFORME ✓",0.5,0)</f>
        <v/>
      </c>
      <c r="H205" s="38">
        <f>SUM(A205:D205)</f>
        <v/>
      </c>
      <c r="I205" s="38">
        <f>SUM(E205:G205)</f>
        <v/>
      </c>
    </row>
    <row r="206">
      <c r="A206" s="38">
        <f>IF('VALE - MG'!L211="CONFORME ✓",2,0)</f>
        <v/>
      </c>
      <c r="B206" s="38">
        <f>IF('VALE - MG'!S211="CONFORME ✓",1,0)</f>
        <v/>
      </c>
      <c r="C206" s="38">
        <f>IF('VALE - MG'!Z211="CONFORME ✓",1,0)</f>
        <v/>
      </c>
      <c r="D206" s="38">
        <f>IF('VALE - MG'!AG211="CONFORME ✓",1,0)</f>
        <v/>
      </c>
      <c r="E206" s="38">
        <f>IF('VALE - MG'!#REF!="CONFORME ✓",2.5,0)</f>
        <v/>
      </c>
      <c r="F206" s="38">
        <f>IF('VALE - MG'!#REF!="CONFORME ✓",2,0)</f>
        <v/>
      </c>
      <c r="G206" s="38">
        <f>IF('VALE - MG'!#REF!="CONFORME ✓",0.5,0)</f>
        <v/>
      </c>
      <c r="H206" s="38">
        <f>SUM(A206:D206)</f>
        <v/>
      </c>
      <c r="I206" s="38">
        <f>SUM(E206:G206)</f>
        <v/>
      </c>
    </row>
    <row r="207">
      <c r="A207" s="38">
        <f>IF('VALE - MG'!L212="CONFORME ✓",2,0)</f>
        <v/>
      </c>
      <c r="B207" s="38">
        <f>IF('VALE - MG'!S212="CONFORME ✓",1,0)</f>
        <v/>
      </c>
      <c r="C207" s="38">
        <f>IF('VALE - MG'!Z212="CONFORME ✓",1,0)</f>
        <v/>
      </c>
      <c r="D207" s="38">
        <f>IF('VALE - MG'!AG212="CONFORME ✓",1,0)</f>
        <v/>
      </c>
      <c r="E207" s="38">
        <f>IF('VALE - MG'!#REF!="CONFORME ✓",2.5,0)</f>
        <v/>
      </c>
      <c r="F207" s="38">
        <f>IF('VALE - MG'!#REF!="CONFORME ✓",2,0)</f>
        <v/>
      </c>
      <c r="G207" s="38">
        <f>IF('VALE - MG'!#REF!="CONFORME ✓",0.5,0)</f>
        <v/>
      </c>
      <c r="H207" s="38">
        <f>SUM(A207:D207)</f>
        <v/>
      </c>
      <c r="I207" s="38">
        <f>SUM(E207:G207)</f>
        <v/>
      </c>
    </row>
    <row r="208">
      <c r="A208" s="38">
        <f>IF('VALE - MG'!L213="CONFORME ✓",2,0)</f>
        <v/>
      </c>
      <c r="B208" s="38">
        <f>IF('VALE - MG'!S213="CONFORME ✓",1,0)</f>
        <v/>
      </c>
      <c r="C208" s="38">
        <f>IF('VALE - MG'!Z213="CONFORME ✓",1,0)</f>
        <v/>
      </c>
      <c r="D208" s="38">
        <f>IF('VALE - MG'!AG213="CONFORME ✓",1,0)</f>
        <v/>
      </c>
      <c r="E208" s="38">
        <f>IF('VALE - MG'!#REF!="CONFORME ✓",2.5,0)</f>
        <v/>
      </c>
      <c r="F208" s="38">
        <f>IF('VALE - MG'!#REF!="CONFORME ✓",2,0)</f>
        <v/>
      </c>
      <c r="G208" s="38">
        <f>IF('VALE - MG'!#REF!="CONFORME ✓",0.5,0)</f>
        <v/>
      </c>
      <c r="H208" s="38">
        <f>SUM(A208:D208)</f>
        <v/>
      </c>
      <c r="I208" s="38">
        <f>SUM(E208:G208)</f>
        <v/>
      </c>
    </row>
    <row r="209">
      <c r="A209" s="38">
        <f>IF('VALE - MG'!L214="CONFORME ✓",2,0)</f>
        <v/>
      </c>
      <c r="B209" s="38">
        <f>IF('VALE - MG'!S214="CONFORME ✓",1,0)</f>
        <v/>
      </c>
      <c r="C209" s="38">
        <f>IF('VALE - MG'!Z214="CONFORME ✓",1,0)</f>
        <v/>
      </c>
      <c r="D209" s="38">
        <f>IF('VALE - MG'!AG214="CONFORME ✓",1,0)</f>
        <v/>
      </c>
      <c r="E209" s="38">
        <f>IF('VALE - MG'!#REF!="CONFORME ✓",2.5,0)</f>
        <v/>
      </c>
      <c r="F209" s="38">
        <f>IF('VALE - MG'!#REF!="CONFORME ✓",2,0)</f>
        <v/>
      </c>
      <c r="G209" s="38">
        <f>IF('VALE - MG'!#REF!="CONFORME ✓",0.5,0)</f>
        <v/>
      </c>
      <c r="H209" s="38">
        <f>SUM(A209:D209)</f>
        <v/>
      </c>
      <c r="I209" s="38">
        <f>SUM(E209:G209)</f>
        <v/>
      </c>
    </row>
    <row r="210">
      <c r="A210" s="38">
        <f>IF('VALE - MG'!L215="CONFORME ✓",2,0)</f>
        <v/>
      </c>
      <c r="B210" s="38">
        <f>IF('VALE - MG'!S215="CONFORME ✓",1,0)</f>
        <v/>
      </c>
      <c r="C210" s="38">
        <f>IF('VALE - MG'!Z215="CONFORME ✓",1,0)</f>
        <v/>
      </c>
      <c r="D210" s="38">
        <f>IF('VALE - MG'!AG215="CONFORME ✓",1,0)</f>
        <v/>
      </c>
      <c r="E210" s="38">
        <f>IF('VALE - MG'!#REF!="CONFORME ✓",2.5,0)</f>
        <v/>
      </c>
      <c r="F210" s="38">
        <f>IF('VALE - MG'!#REF!="CONFORME ✓",2,0)</f>
        <v/>
      </c>
      <c r="G210" s="38">
        <f>IF('VALE - MG'!#REF!="CONFORME ✓",0.5,0)</f>
        <v/>
      </c>
      <c r="H210" s="38">
        <f>SUM(A210:D210)</f>
        <v/>
      </c>
      <c r="I210" s="38">
        <f>SUM(E210:G210)</f>
        <v/>
      </c>
    </row>
    <row r="211">
      <c r="A211" s="38">
        <f>IF('VALE - MG'!L216="CONFORME ✓",2,0)</f>
        <v/>
      </c>
      <c r="B211" s="38">
        <f>IF('VALE - MG'!S216="CONFORME ✓",1,0)</f>
        <v/>
      </c>
      <c r="C211" s="38">
        <f>IF('VALE - MG'!Z216="CONFORME ✓",1,0)</f>
        <v/>
      </c>
      <c r="D211" s="38">
        <f>IF('VALE - MG'!AG216="CONFORME ✓",1,0)</f>
        <v/>
      </c>
      <c r="E211" s="38">
        <f>IF('VALE - MG'!#REF!="CONFORME ✓",2.5,0)</f>
        <v/>
      </c>
      <c r="F211" s="38">
        <f>IF('VALE - MG'!#REF!="CONFORME ✓",2,0)</f>
        <v/>
      </c>
      <c r="G211" s="38">
        <f>IF('VALE - MG'!#REF!="CONFORME ✓",0.5,0)</f>
        <v/>
      </c>
      <c r="H211" s="38">
        <f>SUM(A211:D211)</f>
        <v/>
      </c>
      <c r="I211" s="38">
        <f>SUM(E211:G211)</f>
        <v/>
      </c>
    </row>
    <row r="212">
      <c r="A212" s="38">
        <f>IF('VALE - MG'!L217="CONFORME ✓",2,0)</f>
        <v/>
      </c>
      <c r="B212" s="38">
        <f>IF('VALE - MG'!S217="CONFORME ✓",1,0)</f>
        <v/>
      </c>
      <c r="C212" s="38">
        <f>IF('VALE - MG'!Z217="CONFORME ✓",1,0)</f>
        <v/>
      </c>
      <c r="D212" s="38">
        <f>IF('VALE - MG'!AG217="CONFORME ✓",1,0)</f>
        <v/>
      </c>
      <c r="E212" s="38">
        <f>IF('VALE - MG'!#REF!="CONFORME ✓",2.5,0)</f>
        <v/>
      </c>
      <c r="F212" s="38">
        <f>IF('VALE - MG'!#REF!="CONFORME ✓",2,0)</f>
        <v/>
      </c>
      <c r="G212" s="38">
        <f>IF('VALE - MG'!#REF!="CONFORME ✓",0.5,0)</f>
        <v/>
      </c>
      <c r="H212" s="38">
        <f>SUM(A212:D212)</f>
        <v/>
      </c>
      <c r="I212" s="38">
        <f>SUM(E212:G212)</f>
        <v/>
      </c>
    </row>
    <row r="213">
      <c r="A213" s="38">
        <f>IF('VALE - MG'!L218="CONFORME ✓",2,0)</f>
        <v/>
      </c>
      <c r="B213" s="38">
        <f>IF('VALE - MG'!S218="CONFORME ✓",1,0)</f>
        <v/>
      </c>
      <c r="C213" s="38">
        <f>IF('VALE - MG'!Z218="CONFORME ✓",1,0)</f>
        <v/>
      </c>
      <c r="D213" s="38">
        <f>IF('VALE - MG'!AG218="CONFORME ✓",1,0)</f>
        <v/>
      </c>
      <c r="E213" s="38">
        <f>IF('VALE - MG'!#REF!="CONFORME ✓",2.5,0)</f>
        <v/>
      </c>
      <c r="F213" s="38">
        <f>IF('VALE - MG'!#REF!="CONFORME ✓",2,0)</f>
        <v/>
      </c>
      <c r="G213" s="38">
        <f>IF('VALE - MG'!#REF!="CONFORME ✓",0.5,0)</f>
        <v/>
      </c>
      <c r="H213" s="38">
        <f>SUM(A213:D213)</f>
        <v/>
      </c>
      <c r="I213" s="38">
        <f>SUM(E213:G213)</f>
        <v/>
      </c>
    </row>
    <row r="214">
      <c r="A214" s="38">
        <f>IF('VALE - MG'!L219="CONFORME ✓",2,0)</f>
        <v/>
      </c>
      <c r="B214" s="38">
        <f>IF('VALE - MG'!S219="CONFORME ✓",1,0)</f>
        <v/>
      </c>
      <c r="C214" s="38">
        <f>IF('VALE - MG'!Z219="CONFORME ✓",1,0)</f>
        <v/>
      </c>
      <c r="D214" s="38">
        <f>IF('VALE - MG'!AG219="CONFORME ✓",1,0)</f>
        <v/>
      </c>
      <c r="E214" s="38">
        <f>IF('VALE - MG'!#REF!="CONFORME ✓",2.5,0)</f>
        <v/>
      </c>
      <c r="F214" s="38">
        <f>IF('VALE - MG'!#REF!="CONFORME ✓",2,0)</f>
        <v/>
      </c>
      <c r="G214" s="38">
        <f>IF('VALE - MG'!#REF!="CONFORME ✓",0.5,0)</f>
        <v/>
      </c>
      <c r="H214" s="38">
        <f>SUM(A214:D214)</f>
        <v/>
      </c>
      <c r="I214" s="38">
        <f>SUM(E214:G214)</f>
        <v/>
      </c>
    </row>
    <row r="215">
      <c r="A215" s="38">
        <f>IF('VALE - MG'!L220="CONFORME ✓",2,0)</f>
        <v/>
      </c>
      <c r="B215" s="38">
        <f>IF('VALE - MG'!S220="CONFORME ✓",1,0)</f>
        <v/>
      </c>
      <c r="C215" s="38">
        <f>IF('VALE - MG'!Z220="CONFORME ✓",1,0)</f>
        <v/>
      </c>
      <c r="D215" s="38">
        <f>IF('VALE - MG'!AG220="CONFORME ✓",1,0)</f>
        <v/>
      </c>
      <c r="E215" s="38">
        <f>IF('VALE - MG'!#REF!="CONFORME ✓",2.5,0)</f>
        <v/>
      </c>
      <c r="F215" s="38">
        <f>IF('VALE - MG'!#REF!="CONFORME ✓",2,0)</f>
        <v/>
      </c>
      <c r="G215" s="38">
        <f>IF('VALE - MG'!#REF!="CONFORME ✓",0.5,0)</f>
        <v/>
      </c>
      <c r="H215" s="38">
        <f>SUM(A215:D215)</f>
        <v/>
      </c>
      <c r="I215" s="38">
        <f>SUM(E215:G215)</f>
        <v/>
      </c>
    </row>
    <row r="216">
      <c r="A216" s="38">
        <f>IF('VALE - MG'!L221="CONFORME ✓",2,0)</f>
        <v/>
      </c>
      <c r="B216" s="38">
        <f>IF('VALE - MG'!S221="CONFORME ✓",1,0)</f>
        <v/>
      </c>
      <c r="C216" s="38">
        <f>IF('VALE - MG'!Z221="CONFORME ✓",1,0)</f>
        <v/>
      </c>
      <c r="D216" s="38">
        <f>IF('VALE - MG'!AG221="CONFORME ✓",1,0)</f>
        <v/>
      </c>
      <c r="E216" s="38">
        <f>IF('VALE - MG'!#REF!="CONFORME ✓",2.5,0)</f>
        <v/>
      </c>
      <c r="F216" s="38">
        <f>IF('VALE - MG'!#REF!="CONFORME ✓",2,0)</f>
        <v/>
      </c>
      <c r="G216" s="38">
        <f>IF('VALE - MG'!#REF!="CONFORME ✓",0.5,0)</f>
        <v/>
      </c>
      <c r="H216" s="38">
        <f>SUM(A216:D216)</f>
        <v/>
      </c>
      <c r="I216" s="38">
        <f>SUM(E216:G216)</f>
        <v/>
      </c>
    </row>
    <row r="217">
      <c r="A217" s="38">
        <f>IF('VALE - MG'!L222="CONFORME ✓",2,0)</f>
        <v/>
      </c>
      <c r="B217" s="38">
        <f>IF('VALE - MG'!S222="CONFORME ✓",1,0)</f>
        <v/>
      </c>
      <c r="C217" s="38">
        <f>IF('VALE - MG'!Z222="CONFORME ✓",1,0)</f>
        <v/>
      </c>
      <c r="D217" s="38">
        <f>IF('VALE - MG'!AG222="CONFORME ✓",1,0)</f>
        <v/>
      </c>
      <c r="E217" s="38">
        <f>IF('VALE - MG'!#REF!="CONFORME ✓",2.5,0)</f>
        <v/>
      </c>
      <c r="F217" s="38">
        <f>IF('VALE - MG'!#REF!="CONFORME ✓",2,0)</f>
        <v/>
      </c>
      <c r="G217" s="38">
        <f>IF('VALE - MG'!#REF!="CONFORME ✓",0.5,0)</f>
        <v/>
      </c>
      <c r="H217" s="38">
        <f>SUM(A217:D217)</f>
        <v/>
      </c>
      <c r="I217" s="38">
        <f>SUM(E217:G217)</f>
        <v/>
      </c>
    </row>
    <row r="218">
      <c r="A218" s="38">
        <f>IF('VALE - MG'!L223="CONFORME ✓",2,0)</f>
        <v/>
      </c>
      <c r="B218" s="38">
        <f>IF('VALE - MG'!S223="CONFORME ✓",1,0)</f>
        <v/>
      </c>
      <c r="C218" s="38">
        <f>IF('VALE - MG'!Z223="CONFORME ✓",1,0)</f>
        <v/>
      </c>
      <c r="D218" s="38">
        <f>IF('VALE - MG'!AG223="CONFORME ✓",1,0)</f>
        <v/>
      </c>
      <c r="E218" s="38">
        <f>IF('VALE - MG'!#REF!="CONFORME ✓",2.5,0)</f>
        <v/>
      </c>
      <c r="F218" s="38">
        <f>IF('VALE - MG'!#REF!="CONFORME ✓",2,0)</f>
        <v/>
      </c>
      <c r="G218" s="38">
        <f>IF('VALE - MG'!#REF!="CONFORME ✓",0.5,0)</f>
        <v/>
      </c>
      <c r="H218" s="38">
        <f>SUM(A218:D218)</f>
        <v/>
      </c>
      <c r="I218" s="38">
        <f>SUM(E218:G218)</f>
        <v/>
      </c>
    </row>
    <row r="219">
      <c r="A219" s="38">
        <f>IF('VALE - MG'!L224="CONFORME ✓",2,0)</f>
        <v/>
      </c>
      <c r="B219" s="38">
        <f>IF('VALE - MG'!S224="CONFORME ✓",1,0)</f>
        <v/>
      </c>
      <c r="C219" s="38">
        <f>IF('VALE - MG'!Z224="CONFORME ✓",1,0)</f>
        <v/>
      </c>
      <c r="D219" s="38">
        <f>IF('VALE - MG'!AG224="CONFORME ✓",1,0)</f>
        <v/>
      </c>
      <c r="E219" s="38">
        <f>IF('VALE - MG'!#REF!="CONFORME ✓",2.5,0)</f>
        <v/>
      </c>
      <c r="F219" s="38">
        <f>IF('VALE - MG'!#REF!="CONFORME ✓",2,0)</f>
        <v/>
      </c>
      <c r="G219" s="38">
        <f>IF('VALE - MG'!#REF!="CONFORME ✓",0.5,0)</f>
        <v/>
      </c>
      <c r="H219" s="38">
        <f>SUM(A219:D219)</f>
        <v/>
      </c>
      <c r="I219" s="38">
        <f>SUM(E219:G219)</f>
        <v/>
      </c>
    </row>
    <row r="220">
      <c r="A220" s="38">
        <f>IF('VALE - MG'!L225="CONFORME ✓",2,0)</f>
        <v/>
      </c>
      <c r="B220" s="38">
        <f>IF('VALE - MG'!S225="CONFORME ✓",1,0)</f>
        <v/>
      </c>
      <c r="C220" s="38">
        <f>IF('VALE - MG'!Z225="CONFORME ✓",1,0)</f>
        <v/>
      </c>
      <c r="D220" s="38">
        <f>IF('VALE - MG'!AG225="CONFORME ✓",1,0)</f>
        <v/>
      </c>
      <c r="E220" s="38">
        <f>IF('VALE - MG'!#REF!="CONFORME ✓",2.5,0)</f>
        <v/>
      </c>
      <c r="F220" s="38">
        <f>IF('VALE - MG'!#REF!="CONFORME ✓",2,0)</f>
        <v/>
      </c>
      <c r="G220" s="38">
        <f>IF('VALE - MG'!#REF!="CONFORME ✓",0.5,0)</f>
        <v/>
      </c>
      <c r="H220" s="38">
        <f>SUM(A220:D220)</f>
        <v/>
      </c>
      <c r="I220" s="38">
        <f>SUM(E220:G220)</f>
        <v/>
      </c>
    </row>
    <row r="221">
      <c r="A221" s="38">
        <f>IF('VALE - MG'!L226="CONFORME ✓",2,0)</f>
        <v/>
      </c>
      <c r="B221" s="38">
        <f>IF('VALE - MG'!S226="CONFORME ✓",1,0)</f>
        <v/>
      </c>
      <c r="C221" s="38">
        <f>IF('VALE - MG'!Z226="CONFORME ✓",1,0)</f>
        <v/>
      </c>
      <c r="D221" s="38">
        <f>IF('VALE - MG'!AG226="CONFORME ✓",1,0)</f>
        <v/>
      </c>
      <c r="E221" s="38">
        <f>IF('VALE - MG'!#REF!="CONFORME ✓",2.5,0)</f>
        <v/>
      </c>
      <c r="F221" s="38">
        <f>IF('VALE - MG'!#REF!="CONFORME ✓",2,0)</f>
        <v/>
      </c>
      <c r="G221" s="38">
        <f>IF('VALE - MG'!#REF!="CONFORME ✓",0.5,0)</f>
        <v/>
      </c>
      <c r="H221" s="38">
        <f>SUM(A221:D221)</f>
        <v/>
      </c>
      <c r="I221" s="38">
        <f>SUM(E221:G221)</f>
        <v/>
      </c>
    </row>
    <row r="222">
      <c r="A222" s="38">
        <f>IF('VALE - MG'!L227="CONFORME ✓",2,0)</f>
        <v/>
      </c>
      <c r="B222" s="38">
        <f>IF('VALE - MG'!S227="CONFORME ✓",1,0)</f>
        <v/>
      </c>
      <c r="C222" s="38">
        <f>IF('VALE - MG'!Z227="CONFORME ✓",1,0)</f>
        <v/>
      </c>
      <c r="D222" s="38">
        <f>IF('VALE - MG'!AG227="CONFORME ✓",1,0)</f>
        <v/>
      </c>
      <c r="E222" s="38">
        <f>IF('VALE - MG'!#REF!="CONFORME ✓",2.5,0)</f>
        <v/>
      </c>
      <c r="F222" s="38">
        <f>IF('VALE - MG'!#REF!="CONFORME ✓",2,0)</f>
        <v/>
      </c>
      <c r="G222" s="38">
        <f>IF('VALE - MG'!#REF!="CONFORME ✓",0.5,0)</f>
        <v/>
      </c>
      <c r="H222" s="38">
        <f>SUM(A222:D222)</f>
        <v/>
      </c>
      <c r="I222" s="38">
        <f>SUM(E222:G222)</f>
        <v/>
      </c>
    </row>
    <row r="223">
      <c r="A223" s="38">
        <f>IF('VALE - MG'!L228="CONFORME ✓",2,0)</f>
        <v/>
      </c>
      <c r="B223" s="38">
        <f>IF('VALE - MG'!S228="CONFORME ✓",1,0)</f>
        <v/>
      </c>
      <c r="C223" s="38">
        <f>IF('VALE - MG'!Z228="CONFORME ✓",1,0)</f>
        <v/>
      </c>
      <c r="D223" s="38">
        <f>IF('VALE - MG'!AG228="CONFORME ✓",1,0)</f>
        <v/>
      </c>
      <c r="E223" s="38">
        <f>IF('VALE - MG'!#REF!="CONFORME ✓",2.5,0)</f>
        <v/>
      </c>
      <c r="F223" s="38">
        <f>IF('VALE - MG'!#REF!="CONFORME ✓",2,0)</f>
        <v/>
      </c>
      <c r="G223" s="38">
        <f>IF('VALE - MG'!#REF!="CONFORME ✓",0.5,0)</f>
        <v/>
      </c>
      <c r="H223" s="38">
        <f>SUM(A223:D223)</f>
        <v/>
      </c>
      <c r="I223" s="38">
        <f>SUM(E223:G223)</f>
        <v/>
      </c>
    </row>
    <row r="224">
      <c r="A224" s="38">
        <f>IF('VALE - MG'!L229="CONFORME ✓",2,0)</f>
        <v/>
      </c>
      <c r="B224" s="38">
        <f>IF('VALE - MG'!S229="CONFORME ✓",1,0)</f>
        <v/>
      </c>
      <c r="C224" s="38">
        <f>IF('VALE - MG'!Z229="CONFORME ✓",1,0)</f>
        <v/>
      </c>
      <c r="D224" s="38">
        <f>IF('VALE - MG'!AG229="CONFORME ✓",1,0)</f>
        <v/>
      </c>
      <c r="E224" s="38">
        <f>IF('VALE - MG'!#REF!="CONFORME ✓",2.5,0)</f>
        <v/>
      </c>
      <c r="F224" s="38">
        <f>IF('VALE - MG'!#REF!="CONFORME ✓",2,0)</f>
        <v/>
      </c>
      <c r="G224" s="38">
        <f>IF('VALE - MG'!#REF!="CONFORME ✓",0.5,0)</f>
        <v/>
      </c>
      <c r="H224" s="38">
        <f>SUM(A224:D224)</f>
        <v/>
      </c>
      <c r="I224" s="38">
        <f>SUM(E224:G224)</f>
        <v/>
      </c>
    </row>
    <row r="225">
      <c r="A225" s="38">
        <f>IF('VALE - MG'!L230="CONFORME ✓",2,0)</f>
        <v/>
      </c>
      <c r="B225" s="38">
        <f>IF('VALE - MG'!S230="CONFORME ✓",1,0)</f>
        <v/>
      </c>
      <c r="C225" s="38">
        <f>IF('VALE - MG'!Z230="CONFORME ✓",1,0)</f>
        <v/>
      </c>
      <c r="D225" s="38">
        <f>IF('VALE - MG'!AG230="CONFORME ✓",1,0)</f>
        <v/>
      </c>
      <c r="E225" s="38">
        <f>IF('VALE - MG'!#REF!="CONFORME ✓",2.5,0)</f>
        <v/>
      </c>
      <c r="F225" s="38">
        <f>IF('VALE - MG'!#REF!="CONFORME ✓",2,0)</f>
        <v/>
      </c>
      <c r="G225" s="38">
        <f>IF('VALE - MG'!#REF!="CONFORME ✓",0.5,0)</f>
        <v/>
      </c>
      <c r="H225" s="38">
        <f>SUM(A225:D225)</f>
        <v/>
      </c>
      <c r="I225" s="38">
        <f>SUM(E225:G225)</f>
        <v/>
      </c>
    </row>
    <row r="226">
      <c r="A226" s="38">
        <f>IF('VALE - MG'!L231="CONFORME ✓",2,0)</f>
        <v/>
      </c>
      <c r="B226" s="38">
        <f>IF('VALE - MG'!S231="CONFORME ✓",1,0)</f>
        <v/>
      </c>
      <c r="C226" s="38">
        <f>IF('VALE - MG'!Z231="CONFORME ✓",1,0)</f>
        <v/>
      </c>
      <c r="D226" s="38">
        <f>IF('VALE - MG'!AG231="CONFORME ✓",1,0)</f>
        <v/>
      </c>
      <c r="E226" s="38">
        <f>IF('VALE - MG'!#REF!="CONFORME ✓",2.5,0)</f>
        <v/>
      </c>
      <c r="F226" s="38">
        <f>IF('VALE - MG'!#REF!="CONFORME ✓",2,0)</f>
        <v/>
      </c>
      <c r="G226" s="38">
        <f>IF('VALE - MG'!#REF!="CONFORME ✓",0.5,0)</f>
        <v/>
      </c>
      <c r="H226" s="38">
        <f>SUM(A226:D226)</f>
        <v/>
      </c>
      <c r="I226" s="38">
        <f>SUM(E226:G226)</f>
        <v/>
      </c>
    </row>
    <row r="227">
      <c r="A227" s="38">
        <f>IF('VALE - MG'!L232="CONFORME ✓",2,0)</f>
        <v/>
      </c>
      <c r="B227" s="38">
        <f>IF('VALE - MG'!S232="CONFORME ✓",1,0)</f>
        <v/>
      </c>
      <c r="C227" s="38">
        <f>IF('VALE - MG'!Z232="CONFORME ✓",1,0)</f>
        <v/>
      </c>
      <c r="D227" s="38">
        <f>IF('VALE - MG'!AG232="CONFORME ✓",1,0)</f>
        <v/>
      </c>
      <c r="E227" s="38">
        <f>IF('VALE - MG'!#REF!="CONFORME ✓",2.5,0)</f>
        <v/>
      </c>
      <c r="F227" s="38">
        <f>IF('VALE - MG'!#REF!="CONFORME ✓",2,0)</f>
        <v/>
      </c>
      <c r="G227" s="38">
        <f>IF('VALE - MG'!#REF!="CONFORME ✓",0.5,0)</f>
        <v/>
      </c>
      <c r="H227" s="38">
        <f>SUM(A227:D227)</f>
        <v/>
      </c>
      <c r="I227" s="38">
        <f>SUM(E227:G227)</f>
        <v/>
      </c>
    </row>
    <row r="228">
      <c r="A228" s="38">
        <f>IF('VALE - MG'!L233="CONFORME ✓",2,0)</f>
        <v/>
      </c>
      <c r="B228" s="38">
        <f>IF('VALE - MG'!S233="CONFORME ✓",1,0)</f>
        <v/>
      </c>
      <c r="C228" s="38">
        <f>IF('VALE - MG'!Z233="CONFORME ✓",1,0)</f>
        <v/>
      </c>
      <c r="D228" s="38">
        <f>IF('VALE - MG'!AG233="CONFORME ✓",1,0)</f>
        <v/>
      </c>
      <c r="E228" s="38">
        <f>IF('VALE - MG'!#REF!="CONFORME ✓",2.5,0)</f>
        <v/>
      </c>
      <c r="F228" s="38">
        <f>IF('VALE - MG'!#REF!="CONFORME ✓",2,0)</f>
        <v/>
      </c>
      <c r="G228" s="38">
        <f>IF('VALE - MG'!#REF!="CONFORME ✓",0.5,0)</f>
        <v/>
      </c>
      <c r="H228" s="38">
        <f>SUM(A228:D228)</f>
        <v/>
      </c>
      <c r="I228" s="38">
        <f>SUM(E228:G228)</f>
        <v/>
      </c>
    </row>
    <row r="229">
      <c r="A229" s="38">
        <f>IF('VALE - MG'!L234="CONFORME ✓",2,0)</f>
        <v/>
      </c>
      <c r="B229" s="38">
        <f>IF('VALE - MG'!S234="CONFORME ✓",1,0)</f>
        <v/>
      </c>
      <c r="C229" s="38">
        <f>IF('VALE - MG'!Z234="CONFORME ✓",1,0)</f>
        <v/>
      </c>
      <c r="D229" s="38">
        <f>IF('VALE - MG'!AG234="CONFORME ✓",1,0)</f>
        <v/>
      </c>
      <c r="E229" s="38">
        <f>IF('VALE - MG'!#REF!="CONFORME ✓",2.5,0)</f>
        <v/>
      </c>
      <c r="F229" s="38">
        <f>IF('VALE - MG'!#REF!="CONFORME ✓",2,0)</f>
        <v/>
      </c>
      <c r="G229" s="38">
        <f>IF('VALE - MG'!#REF!="CONFORME ✓",0.5,0)</f>
        <v/>
      </c>
      <c r="H229" s="38">
        <f>SUM(A229:D229)</f>
        <v/>
      </c>
      <c r="I229" s="38">
        <f>SUM(E229:G229)</f>
        <v/>
      </c>
    </row>
    <row r="230">
      <c r="A230" s="38">
        <f>IF('VALE - MG'!L235="CONFORME ✓",2,0)</f>
        <v/>
      </c>
      <c r="B230" s="38">
        <f>IF('VALE - MG'!S235="CONFORME ✓",1,0)</f>
        <v/>
      </c>
      <c r="C230" s="38">
        <f>IF('VALE - MG'!Z235="CONFORME ✓",1,0)</f>
        <v/>
      </c>
      <c r="D230" s="38">
        <f>IF('VALE - MG'!AG235="CONFORME ✓",1,0)</f>
        <v/>
      </c>
      <c r="E230" s="38">
        <f>IF('VALE - MG'!#REF!="CONFORME ✓",2.5,0)</f>
        <v/>
      </c>
      <c r="F230" s="38">
        <f>IF('VALE - MG'!#REF!="CONFORME ✓",2,0)</f>
        <v/>
      </c>
      <c r="G230" s="38">
        <f>IF('VALE - MG'!#REF!="CONFORME ✓",0.5,0)</f>
        <v/>
      </c>
      <c r="H230" s="38">
        <f>SUM(A230:D230)</f>
        <v/>
      </c>
      <c r="I230" s="38">
        <f>SUM(E230:G230)</f>
        <v/>
      </c>
    </row>
    <row r="231">
      <c r="A231" s="38">
        <f>IF('VALE - MG'!L236="CONFORME ✓",2,0)</f>
        <v/>
      </c>
      <c r="B231" s="38">
        <f>IF('VALE - MG'!S236="CONFORME ✓",1,0)</f>
        <v/>
      </c>
      <c r="C231" s="38">
        <f>IF('VALE - MG'!Z236="CONFORME ✓",1,0)</f>
        <v/>
      </c>
      <c r="D231" s="38">
        <f>IF('VALE - MG'!AG236="CONFORME ✓",1,0)</f>
        <v/>
      </c>
      <c r="E231" s="38">
        <f>IF('VALE - MG'!#REF!="CONFORME ✓",2.5,0)</f>
        <v/>
      </c>
      <c r="F231" s="38">
        <f>IF('VALE - MG'!#REF!="CONFORME ✓",2,0)</f>
        <v/>
      </c>
      <c r="G231" s="38">
        <f>IF('VALE - MG'!#REF!="CONFORME ✓",0.5,0)</f>
        <v/>
      </c>
      <c r="H231" s="38">
        <f>SUM(A231:D231)</f>
        <v/>
      </c>
      <c r="I231" s="38">
        <f>SUM(E231:G231)</f>
        <v/>
      </c>
    </row>
    <row r="232">
      <c r="A232" s="38">
        <f>IF('VALE - MG'!L237="CONFORME ✓",2,0)</f>
        <v/>
      </c>
      <c r="B232" s="38">
        <f>IF('VALE - MG'!S237="CONFORME ✓",1,0)</f>
        <v/>
      </c>
      <c r="C232" s="38">
        <f>IF('VALE - MG'!Z237="CONFORME ✓",1,0)</f>
        <v/>
      </c>
      <c r="D232" s="38">
        <f>IF('VALE - MG'!AG237="CONFORME ✓",1,0)</f>
        <v/>
      </c>
      <c r="E232" s="38">
        <f>IF('VALE - MG'!#REF!="CONFORME ✓",2.5,0)</f>
        <v/>
      </c>
      <c r="F232" s="38">
        <f>IF('VALE - MG'!#REF!="CONFORME ✓",2,0)</f>
        <v/>
      </c>
      <c r="G232" s="38">
        <f>IF('VALE - MG'!#REF!="CONFORME ✓",0.5,0)</f>
        <v/>
      </c>
      <c r="H232" s="38">
        <f>SUM(A232:D232)</f>
        <v/>
      </c>
      <c r="I232" s="38">
        <f>SUM(E232:G232)</f>
        <v/>
      </c>
    </row>
    <row r="233">
      <c r="A233" s="38">
        <f>IF('VALE - MG'!L238="CONFORME ✓",2,0)</f>
        <v/>
      </c>
      <c r="B233" s="38">
        <f>IF('VALE - MG'!S238="CONFORME ✓",1,0)</f>
        <v/>
      </c>
      <c r="C233" s="38">
        <f>IF('VALE - MG'!Z238="CONFORME ✓",1,0)</f>
        <v/>
      </c>
      <c r="D233" s="38">
        <f>IF('VALE - MG'!AG238="CONFORME ✓",1,0)</f>
        <v/>
      </c>
      <c r="E233" s="38">
        <f>IF('VALE - MG'!#REF!="CONFORME ✓",2.5,0)</f>
        <v/>
      </c>
      <c r="F233" s="38">
        <f>IF('VALE - MG'!#REF!="CONFORME ✓",2,0)</f>
        <v/>
      </c>
      <c r="G233" s="38">
        <f>IF('VALE - MG'!#REF!="CONFORME ✓",0.5,0)</f>
        <v/>
      </c>
      <c r="H233" s="38">
        <f>SUM(A233:D233)</f>
        <v/>
      </c>
      <c r="I233" s="38">
        <f>SUM(E233:G233)</f>
        <v/>
      </c>
    </row>
    <row r="234">
      <c r="A234" s="38">
        <f>IF('VALE - MG'!L239="CONFORME ✓",2,0)</f>
        <v/>
      </c>
      <c r="B234" s="38">
        <f>IF('VALE - MG'!S239="CONFORME ✓",1,0)</f>
        <v/>
      </c>
      <c r="C234" s="38">
        <f>IF('VALE - MG'!Z239="CONFORME ✓",1,0)</f>
        <v/>
      </c>
      <c r="D234" s="38">
        <f>IF('VALE - MG'!AG239="CONFORME ✓",1,0)</f>
        <v/>
      </c>
      <c r="E234" s="38">
        <f>IF('VALE - MG'!#REF!="CONFORME ✓",2.5,0)</f>
        <v/>
      </c>
      <c r="F234" s="38">
        <f>IF('VALE - MG'!#REF!="CONFORME ✓",2,0)</f>
        <v/>
      </c>
      <c r="G234" s="38">
        <f>IF('VALE - MG'!#REF!="CONFORME ✓",0.5,0)</f>
        <v/>
      </c>
      <c r="H234" s="38">
        <f>SUM(A234:D234)</f>
        <v/>
      </c>
      <c r="I234" s="38">
        <f>SUM(E234:G234)</f>
        <v/>
      </c>
    </row>
    <row r="235">
      <c r="A235" s="38">
        <f>IF('VALE - MG'!L240="CONFORME ✓",2,0)</f>
        <v/>
      </c>
      <c r="B235" s="38">
        <f>IF('VALE - MG'!S240="CONFORME ✓",1,0)</f>
        <v/>
      </c>
      <c r="C235" s="38">
        <f>IF('VALE - MG'!Z240="CONFORME ✓",1,0)</f>
        <v/>
      </c>
      <c r="D235" s="38">
        <f>IF('VALE - MG'!AG240="CONFORME ✓",1,0)</f>
        <v/>
      </c>
      <c r="E235" s="38">
        <f>IF('VALE - MG'!#REF!="CONFORME ✓",2.5,0)</f>
        <v/>
      </c>
      <c r="F235" s="38">
        <f>IF('VALE - MG'!#REF!="CONFORME ✓",2,0)</f>
        <v/>
      </c>
      <c r="G235" s="38">
        <f>IF('VALE - MG'!#REF!="CONFORME ✓",0.5,0)</f>
        <v/>
      </c>
      <c r="H235" s="38">
        <f>SUM(A235:D235)</f>
        <v/>
      </c>
      <c r="I235" s="38">
        <f>SUM(E235:G235)</f>
        <v/>
      </c>
    </row>
    <row r="236">
      <c r="A236" s="38">
        <f>IF('VALE - MG'!L241="CONFORME ✓",2,0)</f>
        <v/>
      </c>
      <c r="B236" s="38">
        <f>IF('VALE - MG'!S241="CONFORME ✓",1,0)</f>
        <v/>
      </c>
      <c r="C236" s="38">
        <f>IF('VALE - MG'!Z241="CONFORME ✓",1,0)</f>
        <v/>
      </c>
      <c r="D236" s="38">
        <f>IF('VALE - MG'!AG241="CONFORME ✓",1,0)</f>
        <v/>
      </c>
      <c r="E236" s="38">
        <f>IF('VALE - MG'!#REF!="CONFORME ✓",2.5,0)</f>
        <v/>
      </c>
      <c r="F236" s="38">
        <f>IF('VALE - MG'!#REF!="CONFORME ✓",2,0)</f>
        <v/>
      </c>
      <c r="G236" s="38">
        <f>IF('VALE - MG'!#REF!="CONFORME ✓",0.5,0)</f>
        <v/>
      </c>
      <c r="H236" s="38">
        <f>SUM(A236:D236)</f>
        <v/>
      </c>
      <c r="I236" s="38">
        <f>SUM(E236:G236)</f>
        <v/>
      </c>
    </row>
    <row r="237">
      <c r="A237" s="38">
        <f>IF('VALE - MG'!#REF!="CONFORME ✓",2,0)</f>
        <v/>
      </c>
      <c r="B237" s="38">
        <f>IF('VALE - MG'!R242="CONFORME ✓",1,0)</f>
        <v/>
      </c>
      <c r="C237" s="38">
        <f>IF('VALE - MG'!Y242="CONFORME ✓",1,0)</f>
        <v/>
      </c>
      <c r="D237" s="38">
        <f>IF('VALE - MG'!AF242="CONFORME ✓",1,0)</f>
        <v/>
      </c>
      <c r="E237" s="38">
        <f>IF('VALE - MG'!#REF!="CONFORME ✓",2.5,0)</f>
        <v/>
      </c>
      <c r="F237" s="38">
        <f>IF('VALE - MG'!#REF!="CONFORME ✓",2,0)</f>
        <v/>
      </c>
      <c r="G237" s="38">
        <f>IF('VALE - MG'!#REF!="CONFORME ✓",0.5,0)</f>
        <v/>
      </c>
      <c r="H237" s="38">
        <f>SUM(A237:D237)</f>
        <v/>
      </c>
      <c r="I237" s="38">
        <f>SUM(E237:G237)</f>
        <v/>
      </c>
    </row>
    <row r="238">
      <c r="A238" s="38">
        <f>IF('VALE - MG'!#REF!="CONFORME ✓",2,0)</f>
        <v/>
      </c>
      <c r="B238" s="38">
        <f>IF('VALE - MG'!R243="CONFORME ✓",1,0)</f>
        <v/>
      </c>
      <c r="C238" s="38">
        <f>IF('VALE - MG'!Y243="CONFORME ✓",1,0)</f>
        <v/>
      </c>
      <c r="D238" s="38">
        <f>IF('VALE - MG'!AF243="CONFORME ✓",1,0)</f>
        <v/>
      </c>
      <c r="E238" s="38">
        <f>IF('VALE - MG'!#REF!="CONFORME ✓",2.5,0)</f>
        <v/>
      </c>
      <c r="F238" s="38">
        <f>IF('VALE - MG'!#REF!="CONFORME ✓",2,0)</f>
        <v/>
      </c>
      <c r="G238" s="38">
        <f>IF('VALE - MG'!#REF!="CONFORME ✓",0.5,0)</f>
        <v/>
      </c>
      <c r="H238" s="38">
        <f>SUM(A238:D238)</f>
        <v/>
      </c>
      <c r="I238" s="38">
        <f>SUM(E238:G238)</f>
        <v/>
      </c>
    </row>
    <row r="239">
      <c r="A239" s="38">
        <f>IF('VALE - MG'!#REF!="CONFORME ✓",2,0)</f>
        <v/>
      </c>
      <c r="B239" s="38">
        <f>IF('VALE - MG'!R244="CONFORME ✓",1,0)</f>
        <v/>
      </c>
      <c r="C239" s="38">
        <f>IF('VALE - MG'!Y244="CONFORME ✓",1,0)</f>
        <v/>
      </c>
      <c r="D239" s="38">
        <f>IF('VALE - MG'!AF244="CONFORME ✓",1,0)</f>
        <v/>
      </c>
      <c r="E239" s="38">
        <f>IF('VALE - MG'!#REF!="CONFORME ✓",2.5,0)</f>
        <v/>
      </c>
      <c r="F239" s="38">
        <f>IF('VALE - MG'!#REF!="CONFORME ✓",2,0)</f>
        <v/>
      </c>
      <c r="G239" s="38">
        <f>IF('VALE - MG'!#REF!="CONFORME ✓",0.5,0)</f>
        <v/>
      </c>
      <c r="H239" s="38">
        <f>SUM(A239:D239)</f>
        <v/>
      </c>
      <c r="I239" s="38">
        <f>SUM(E239:G239)</f>
        <v/>
      </c>
    </row>
    <row r="240">
      <c r="A240" s="38">
        <f>IF('VALE - MG'!#REF!="CONFORME ✓",2,0)</f>
        <v/>
      </c>
      <c r="B240" s="38">
        <f>IF('VALE - MG'!R245="CONFORME ✓",1,0)</f>
        <v/>
      </c>
      <c r="C240" s="38">
        <f>IF('VALE - MG'!Y245="CONFORME ✓",1,0)</f>
        <v/>
      </c>
      <c r="D240" s="38">
        <f>IF('VALE - MG'!AF245="CONFORME ✓",1,0)</f>
        <v/>
      </c>
      <c r="E240" s="38">
        <f>IF('VALE - MG'!#REF!="CONFORME ✓",2.5,0)</f>
        <v/>
      </c>
      <c r="F240" s="38">
        <f>IF('VALE - MG'!#REF!="CONFORME ✓",2,0)</f>
        <v/>
      </c>
      <c r="G240" s="38">
        <f>IF('VALE - MG'!#REF!="CONFORME ✓",0.5,0)</f>
        <v/>
      </c>
      <c r="H240" s="38">
        <f>SUM(A240:D240)</f>
        <v/>
      </c>
      <c r="I240" s="38">
        <f>SUM(E240:G240)</f>
        <v/>
      </c>
    </row>
    <row r="241">
      <c r="A241" s="38">
        <f>IF('VALE - MG'!#REF!="CONFORME ✓",2,0)</f>
        <v/>
      </c>
      <c r="B241" s="38">
        <f>IF('VALE - MG'!R246="CONFORME ✓",1,0)</f>
        <v/>
      </c>
      <c r="C241" s="38">
        <f>IF('VALE - MG'!Y246="CONFORME ✓",1,0)</f>
        <v/>
      </c>
      <c r="D241" s="38">
        <f>IF('VALE - MG'!AF246="CONFORME ✓",1,0)</f>
        <v/>
      </c>
      <c r="E241" s="38">
        <f>IF('VALE - MG'!#REF!="CONFORME ✓",2.5,0)</f>
        <v/>
      </c>
      <c r="F241" s="38">
        <f>IF('VALE - MG'!#REF!="CONFORME ✓",2,0)</f>
        <v/>
      </c>
      <c r="G241" s="38">
        <f>IF('VALE - MG'!#REF!="CONFORME ✓",0.5,0)</f>
        <v/>
      </c>
      <c r="H241" s="38">
        <f>SUM(A241:D241)</f>
        <v/>
      </c>
      <c r="I241" s="38">
        <f>SUM(E241:G241)</f>
        <v/>
      </c>
    </row>
    <row r="242">
      <c r="A242" s="38">
        <f>IF('VALE - MG'!#REF!="CONFORME ✓",2,0)</f>
        <v/>
      </c>
      <c r="B242" s="38">
        <f>IF('VALE - MG'!R247="CONFORME ✓",1,0)</f>
        <v/>
      </c>
      <c r="C242" s="38">
        <f>IF('VALE - MG'!Y247="CONFORME ✓",1,0)</f>
        <v/>
      </c>
      <c r="D242" s="38">
        <f>IF('VALE - MG'!AF247="CONFORME ✓",1,0)</f>
        <v/>
      </c>
      <c r="E242" s="38">
        <f>IF('VALE - MG'!#REF!="CONFORME ✓",2.5,0)</f>
        <v/>
      </c>
      <c r="F242" s="38">
        <f>IF('VALE - MG'!#REF!="CONFORME ✓",2,0)</f>
        <v/>
      </c>
      <c r="G242" s="38">
        <f>IF('VALE - MG'!#REF!="CONFORME ✓",0.5,0)</f>
        <v/>
      </c>
      <c r="H242" s="38">
        <f>SUM(A242:D242)</f>
        <v/>
      </c>
      <c r="I242" s="38">
        <f>SUM(E242:G242)</f>
        <v/>
      </c>
    </row>
    <row r="243">
      <c r="A243" s="38">
        <f>IF('VALE - MG'!#REF!="CONFORME ✓",2,0)</f>
        <v/>
      </c>
      <c r="B243" s="38">
        <f>IF('VALE - MG'!R248="CONFORME ✓",1,0)</f>
        <v/>
      </c>
      <c r="C243" s="38">
        <f>IF('VALE - MG'!Y248="CONFORME ✓",1,0)</f>
        <v/>
      </c>
      <c r="D243" s="38">
        <f>IF('VALE - MG'!AF248="CONFORME ✓",1,0)</f>
        <v/>
      </c>
      <c r="E243" s="38">
        <f>IF('VALE - MG'!#REF!="CONFORME ✓",2.5,0)</f>
        <v/>
      </c>
      <c r="F243" s="38">
        <f>IF('VALE - MG'!#REF!="CONFORME ✓",2,0)</f>
        <v/>
      </c>
      <c r="G243" s="38">
        <f>IF('VALE - MG'!#REF!="CONFORME ✓",0.5,0)</f>
        <v/>
      </c>
      <c r="H243" s="38">
        <f>SUM(A243:D243)</f>
        <v/>
      </c>
      <c r="I243" s="38">
        <f>SUM(E243:G243)</f>
        <v/>
      </c>
    </row>
    <row r="244">
      <c r="A244" s="38">
        <f>IF('VALE - MG'!#REF!="CONFORME ✓",2,0)</f>
        <v/>
      </c>
      <c r="B244" s="38">
        <f>IF('VALE - MG'!R249="CONFORME ✓",1,0)</f>
        <v/>
      </c>
      <c r="C244" s="38">
        <f>IF('VALE - MG'!Y249="CONFORME ✓",1,0)</f>
        <v/>
      </c>
      <c r="D244" s="38">
        <f>IF('VALE - MG'!AF249="CONFORME ✓",1,0)</f>
        <v/>
      </c>
      <c r="E244" s="38">
        <f>IF('VALE - MG'!#REF!="CONFORME ✓",2.5,0)</f>
        <v/>
      </c>
      <c r="F244" s="38">
        <f>IF('VALE - MG'!#REF!="CONFORME ✓",2,0)</f>
        <v/>
      </c>
      <c r="G244" s="38">
        <f>IF('VALE - MG'!#REF!="CONFORME ✓",0.5,0)</f>
        <v/>
      </c>
      <c r="H244" s="38">
        <f>SUM(A244:D244)</f>
        <v/>
      </c>
      <c r="I244" s="38">
        <f>SUM(E244:G244)</f>
        <v/>
      </c>
    </row>
    <row r="245">
      <c r="A245" s="38">
        <f>IF('VALE - MG'!#REF!="CONFORME ✓",2,0)</f>
        <v/>
      </c>
      <c r="B245" s="38">
        <f>IF('VALE - MG'!R250="CONFORME ✓",1,0)</f>
        <v/>
      </c>
      <c r="C245" s="38">
        <f>IF('VALE - MG'!Y250="CONFORME ✓",1,0)</f>
        <v/>
      </c>
      <c r="D245" s="38">
        <f>IF('VALE - MG'!AF250="CONFORME ✓",1,0)</f>
        <v/>
      </c>
      <c r="E245" s="38">
        <f>IF('VALE - MG'!#REF!="CONFORME ✓",2.5,0)</f>
        <v/>
      </c>
      <c r="F245" s="38">
        <f>IF('VALE - MG'!#REF!="CONFORME ✓",2,0)</f>
        <v/>
      </c>
      <c r="G245" s="38">
        <f>IF('VALE - MG'!#REF!="CONFORME ✓",0.5,0)</f>
        <v/>
      </c>
      <c r="H245" s="38">
        <f>SUM(A245:D245)</f>
        <v/>
      </c>
      <c r="I245" s="38">
        <f>SUM(E245:G245)</f>
        <v/>
      </c>
    </row>
    <row r="246">
      <c r="A246" s="38">
        <f>IF('VALE - MG'!#REF!="CONFORME ✓",2,0)</f>
        <v/>
      </c>
      <c r="B246" s="38">
        <f>IF('VALE - MG'!R251="CONFORME ✓",1,0)</f>
        <v/>
      </c>
      <c r="C246" s="38">
        <f>IF('VALE - MG'!Y251="CONFORME ✓",1,0)</f>
        <v/>
      </c>
      <c r="D246" s="38">
        <f>IF('VALE - MG'!AF251="CONFORME ✓",1,0)</f>
        <v/>
      </c>
      <c r="E246" s="38">
        <f>IF('VALE - MG'!#REF!="CONFORME ✓",2.5,0)</f>
        <v/>
      </c>
      <c r="F246" s="38">
        <f>IF('VALE - MG'!#REF!="CONFORME ✓",2,0)</f>
        <v/>
      </c>
      <c r="G246" s="38">
        <f>IF('VALE - MG'!#REF!="CONFORME ✓",0.5,0)</f>
        <v/>
      </c>
      <c r="H246" s="38">
        <f>SUM(A246:D246)</f>
        <v/>
      </c>
      <c r="I246" s="38">
        <f>SUM(E246:G246)</f>
        <v/>
      </c>
    </row>
    <row r="247">
      <c r="A247" s="38">
        <f>IF('VALE - MG'!#REF!="CONFORME ✓",2,0)</f>
        <v/>
      </c>
      <c r="B247" s="38">
        <f>IF('VALE - MG'!R252="CONFORME ✓",1,0)</f>
        <v/>
      </c>
      <c r="C247" s="38">
        <f>IF('VALE - MG'!Y252="CONFORME ✓",1,0)</f>
        <v/>
      </c>
      <c r="D247" s="38">
        <f>IF('VALE - MG'!AF252="CONFORME ✓",1,0)</f>
        <v/>
      </c>
      <c r="E247" s="38">
        <f>IF('VALE - MG'!#REF!="CONFORME ✓",2.5,0)</f>
        <v/>
      </c>
      <c r="F247" s="38">
        <f>IF('VALE - MG'!#REF!="CONFORME ✓",2,0)</f>
        <v/>
      </c>
      <c r="G247" s="38">
        <f>IF('VALE - MG'!#REF!="CONFORME ✓",0.5,0)</f>
        <v/>
      </c>
      <c r="H247" s="38">
        <f>SUM(A247:D247)</f>
        <v/>
      </c>
      <c r="I247" s="38">
        <f>SUM(E247:G247)</f>
        <v/>
      </c>
    </row>
    <row r="248">
      <c r="A248" s="38">
        <f>IF('VALE - MG'!#REF!="CONFORME ✓",2,0)</f>
        <v/>
      </c>
      <c r="B248" s="38">
        <f>IF('VALE - MG'!R253="CONFORME ✓",1,0)</f>
        <v/>
      </c>
      <c r="C248" s="38">
        <f>IF('VALE - MG'!Y253="CONFORME ✓",1,0)</f>
        <v/>
      </c>
      <c r="D248" s="38">
        <f>IF('VALE - MG'!AF253="CONFORME ✓",1,0)</f>
        <v/>
      </c>
      <c r="E248" s="38">
        <f>IF('VALE - MG'!#REF!="CONFORME ✓",2.5,0)</f>
        <v/>
      </c>
      <c r="F248" s="38">
        <f>IF('VALE - MG'!#REF!="CONFORME ✓",2,0)</f>
        <v/>
      </c>
      <c r="G248" s="38">
        <f>IF('VALE - MG'!#REF!="CONFORME ✓",0.5,0)</f>
        <v/>
      </c>
      <c r="H248" s="38">
        <f>SUM(A248:D248)</f>
        <v/>
      </c>
      <c r="I248" s="38">
        <f>SUM(E248:G248)</f>
        <v/>
      </c>
    </row>
    <row r="249">
      <c r="A249" s="38">
        <f>IF('VALE - MG'!#REF!="CONFORME ✓",2,0)</f>
        <v/>
      </c>
      <c r="B249" s="38">
        <f>IF('VALE - MG'!R254="CONFORME ✓",1,0)</f>
        <v/>
      </c>
      <c r="C249" s="38">
        <f>IF('VALE - MG'!Y254="CONFORME ✓",1,0)</f>
        <v/>
      </c>
      <c r="D249" s="38">
        <f>IF('VALE - MG'!AF254="CONFORME ✓",1,0)</f>
        <v/>
      </c>
      <c r="E249" s="38">
        <f>IF('VALE - MG'!#REF!="CONFORME ✓",2.5,0)</f>
        <v/>
      </c>
      <c r="F249" s="38">
        <f>IF('VALE - MG'!#REF!="CONFORME ✓",2,0)</f>
        <v/>
      </c>
      <c r="G249" s="38">
        <f>IF('VALE - MG'!#REF!="CONFORME ✓",0.5,0)</f>
        <v/>
      </c>
      <c r="H249" s="38">
        <f>SUM(A249:D249)</f>
        <v/>
      </c>
      <c r="I249" s="38">
        <f>SUM(E249:G249)</f>
        <v/>
      </c>
    </row>
    <row r="250">
      <c r="A250" s="38">
        <f>IF('VALE - MG'!#REF!="CONFORME ✓",2,0)</f>
        <v/>
      </c>
      <c r="B250" s="38">
        <f>IF('VALE - MG'!R255="CONFORME ✓",1,0)</f>
        <v/>
      </c>
      <c r="C250" s="38">
        <f>IF('VALE - MG'!Y255="CONFORME ✓",1,0)</f>
        <v/>
      </c>
      <c r="D250" s="38">
        <f>IF('VALE - MG'!AF255="CONFORME ✓",1,0)</f>
        <v/>
      </c>
      <c r="E250" s="38">
        <f>IF('VALE - MG'!#REF!="CONFORME ✓",2.5,0)</f>
        <v/>
      </c>
      <c r="F250" s="38">
        <f>IF('VALE - MG'!#REF!="CONFORME ✓",2,0)</f>
        <v/>
      </c>
      <c r="G250" s="38">
        <f>IF('VALE - MG'!#REF!="CONFORME ✓",0.5,0)</f>
        <v/>
      </c>
      <c r="H250" s="38">
        <f>SUM(A250:D250)</f>
        <v/>
      </c>
      <c r="I250" s="38">
        <f>SUM(E250:G250)</f>
        <v/>
      </c>
    </row>
    <row r="251">
      <c r="A251" s="38">
        <f>IF('VALE - MG'!#REF!="CONFORME ✓",2,0)</f>
        <v/>
      </c>
      <c r="B251" s="38">
        <f>IF('VALE - MG'!R256="CONFORME ✓",1,0)</f>
        <v/>
      </c>
      <c r="C251" s="38">
        <f>IF('VALE - MG'!Y256="CONFORME ✓",1,0)</f>
        <v/>
      </c>
      <c r="D251" s="38">
        <f>IF('VALE - MG'!AF256="CONFORME ✓",1,0)</f>
        <v/>
      </c>
      <c r="E251" s="38">
        <f>IF('VALE - MG'!#REF!="CONFORME ✓",2.5,0)</f>
        <v/>
      </c>
      <c r="F251" s="38">
        <f>IF('VALE - MG'!#REF!="CONFORME ✓",2,0)</f>
        <v/>
      </c>
      <c r="G251" s="38">
        <f>IF('VALE - MG'!#REF!="CONFORME ✓",0.5,0)</f>
        <v/>
      </c>
      <c r="H251" s="38">
        <f>SUM(A251:D251)</f>
        <v/>
      </c>
      <c r="I251" s="38">
        <f>SUM(E251:G251)</f>
        <v/>
      </c>
    </row>
    <row r="252">
      <c r="A252" s="38">
        <f>IF('VALE - MG'!#REF!="CONFORME ✓",2,0)</f>
        <v/>
      </c>
      <c r="B252" s="38">
        <f>IF('VALE - MG'!R257="CONFORME ✓",1,0)</f>
        <v/>
      </c>
      <c r="C252" s="38">
        <f>IF('VALE - MG'!Y257="CONFORME ✓",1,0)</f>
        <v/>
      </c>
      <c r="D252" s="38">
        <f>IF('VALE - MG'!AF257="CONFORME ✓",1,0)</f>
        <v/>
      </c>
      <c r="E252" s="38">
        <f>IF('VALE - MG'!#REF!="CONFORME ✓",2.5,0)</f>
        <v/>
      </c>
      <c r="F252" s="38">
        <f>IF('VALE - MG'!#REF!="CONFORME ✓",2,0)</f>
        <v/>
      </c>
      <c r="G252" s="38">
        <f>IF('VALE - MG'!#REF!="CONFORME ✓",0.5,0)</f>
        <v/>
      </c>
      <c r="H252" s="38">
        <f>SUM(A252:D252)</f>
        <v/>
      </c>
      <c r="I252" s="38">
        <f>SUM(E252:G252)</f>
        <v/>
      </c>
    </row>
    <row r="253">
      <c r="A253" s="38">
        <f>IF('VALE - MG'!#REF!="CONFORME ✓",2,0)</f>
        <v/>
      </c>
      <c r="B253" s="38">
        <f>IF('VALE - MG'!R258="CONFORME ✓",1,0)</f>
        <v/>
      </c>
      <c r="C253" s="38">
        <f>IF('VALE - MG'!Y258="CONFORME ✓",1,0)</f>
        <v/>
      </c>
      <c r="D253" s="38">
        <f>IF('VALE - MG'!AF258="CONFORME ✓",1,0)</f>
        <v/>
      </c>
      <c r="E253" s="38">
        <f>IF('VALE - MG'!#REF!="CONFORME ✓",2.5,0)</f>
        <v/>
      </c>
      <c r="F253" s="38">
        <f>IF('VALE - MG'!#REF!="CONFORME ✓",2,0)</f>
        <v/>
      </c>
      <c r="G253" s="38">
        <f>IF('VALE - MG'!#REF!="CONFORME ✓",0.5,0)</f>
        <v/>
      </c>
      <c r="H253" s="38">
        <f>SUM(A253:D253)</f>
        <v/>
      </c>
      <c r="I253" s="38">
        <f>SUM(E253:G253)</f>
        <v/>
      </c>
    </row>
    <row r="254">
      <c r="A254" s="38">
        <f>IF('VALE - MG'!#REF!="CONFORME ✓",2,0)</f>
        <v/>
      </c>
      <c r="B254" s="38">
        <f>IF('VALE - MG'!R259="CONFORME ✓",1,0)</f>
        <v/>
      </c>
      <c r="C254" s="38">
        <f>IF('VALE - MG'!Y259="CONFORME ✓",1,0)</f>
        <v/>
      </c>
      <c r="D254" s="38">
        <f>IF('VALE - MG'!AF259="CONFORME ✓",1,0)</f>
        <v/>
      </c>
      <c r="E254" s="38">
        <f>IF('VALE - MG'!#REF!="CONFORME ✓",2.5,0)</f>
        <v/>
      </c>
      <c r="F254" s="38">
        <f>IF('VALE - MG'!#REF!="CONFORME ✓",2,0)</f>
        <v/>
      </c>
      <c r="G254" s="38">
        <f>IF('VALE - MG'!#REF!="CONFORME ✓",0.5,0)</f>
        <v/>
      </c>
      <c r="H254" s="38">
        <f>SUM(A254:D254)</f>
        <v/>
      </c>
      <c r="I254" s="38">
        <f>SUM(E254:G254)</f>
        <v/>
      </c>
    </row>
    <row r="255">
      <c r="A255" s="38">
        <f>IF('VALE - MG'!#REF!="CONFORME ✓",2,0)</f>
        <v/>
      </c>
      <c r="B255" s="38">
        <f>IF('VALE - MG'!R260="CONFORME ✓",1,0)</f>
        <v/>
      </c>
      <c r="C255" s="38">
        <f>IF('VALE - MG'!Y260="CONFORME ✓",1,0)</f>
        <v/>
      </c>
      <c r="D255" s="38">
        <f>IF('VALE - MG'!AF260="CONFORME ✓",1,0)</f>
        <v/>
      </c>
      <c r="E255" s="38">
        <f>IF('VALE - MG'!#REF!="CONFORME ✓",2.5,0)</f>
        <v/>
      </c>
      <c r="F255" s="38">
        <f>IF('VALE - MG'!#REF!="CONFORME ✓",2,0)</f>
        <v/>
      </c>
      <c r="G255" s="38">
        <f>IF('VALE - MG'!#REF!="CONFORME ✓",0.5,0)</f>
        <v/>
      </c>
      <c r="H255" s="38">
        <f>SUM(A255:D255)</f>
        <v/>
      </c>
      <c r="I255" s="38">
        <f>SUM(E255:G255)</f>
        <v/>
      </c>
    </row>
    <row r="256">
      <c r="A256" s="38">
        <f>IF('VALE - MG'!#REF!="CONFORME ✓",2,0)</f>
        <v/>
      </c>
      <c r="B256" s="38">
        <f>IF('VALE - MG'!R261="CONFORME ✓",1,0)</f>
        <v/>
      </c>
      <c r="C256" s="38">
        <f>IF('VALE - MG'!Y261="CONFORME ✓",1,0)</f>
        <v/>
      </c>
      <c r="D256" s="38">
        <f>IF('VALE - MG'!AF261="CONFORME ✓",1,0)</f>
        <v/>
      </c>
      <c r="E256" s="38">
        <f>IF('VALE - MG'!#REF!="CONFORME ✓",2.5,0)</f>
        <v/>
      </c>
      <c r="F256" s="38">
        <f>IF('VALE - MG'!#REF!="CONFORME ✓",2,0)</f>
        <v/>
      </c>
      <c r="G256" s="38">
        <f>IF('VALE - MG'!#REF!="CONFORME ✓",0.5,0)</f>
        <v/>
      </c>
      <c r="H256" s="38">
        <f>SUM(A256:D256)</f>
        <v/>
      </c>
      <c r="I256" s="38">
        <f>SUM(E256:G256)</f>
        <v/>
      </c>
    </row>
    <row r="257">
      <c r="A257" s="38">
        <f>IF('VALE - MG'!#REF!="CONFORME ✓",2,0)</f>
        <v/>
      </c>
      <c r="B257" s="38">
        <f>IF('VALE - MG'!R262="CONFORME ✓",1,0)</f>
        <v/>
      </c>
      <c r="C257" s="38">
        <f>IF('VALE - MG'!Y262="CONFORME ✓",1,0)</f>
        <v/>
      </c>
      <c r="D257" s="38">
        <f>IF('VALE - MG'!AF262="CONFORME ✓",1,0)</f>
        <v/>
      </c>
      <c r="E257" s="38">
        <f>IF('VALE - MG'!#REF!="CONFORME ✓",2.5,0)</f>
        <v/>
      </c>
      <c r="F257" s="38">
        <f>IF('VALE - MG'!#REF!="CONFORME ✓",2,0)</f>
        <v/>
      </c>
      <c r="G257" s="38">
        <f>IF('VALE - MG'!#REF!="CONFORME ✓",0.5,0)</f>
        <v/>
      </c>
      <c r="H257" s="38">
        <f>SUM(A257:D257)</f>
        <v/>
      </c>
      <c r="I257" s="38">
        <f>SUM(E257:G257)</f>
        <v/>
      </c>
    </row>
    <row r="258">
      <c r="A258" s="38">
        <f>IF('VALE - MG'!#REF!="CONFORME ✓",2,0)</f>
        <v/>
      </c>
      <c r="B258" s="38">
        <f>IF('VALE - MG'!R263="CONFORME ✓",1,0)</f>
        <v/>
      </c>
      <c r="C258" s="38">
        <f>IF('VALE - MG'!Y263="CONFORME ✓",1,0)</f>
        <v/>
      </c>
      <c r="D258" s="38">
        <f>IF('VALE - MG'!AF263="CONFORME ✓",1,0)</f>
        <v/>
      </c>
      <c r="E258" s="38">
        <f>IF('VALE - MG'!#REF!="CONFORME ✓",2.5,0)</f>
        <v/>
      </c>
      <c r="F258" s="38">
        <f>IF('VALE - MG'!#REF!="CONFORME ✓",2,0)</f>
        <v/>
      </c>
      <c r="G258" s="38">
        <f>IF('VALE - MG'!#REF!="CONFORME ✓",0.5,0)</f>
        <v/>
      </c>
      <c r="H258" s="38">
        <f>SUM(A258:D258)</f>
        <v/>
      </c>
      <c r="I258" s="38">
        <f>SUM(E258:G258)</f>
        <v/>
      </c>
    </row>
    <row r="259">
      <c r="A259" s="38">
        <f>IF('VALE - MG'!#REF!="CONFORME ✓",2,0)</f>
        <v/>
      </c>
      <c r="B259" s="38">
        <f>IF('VALE - MG'!R264="CONFORME ✓",1,0)</f>
        <v/>
      </c>
      <c r="C259" s="38">
        <f>IF('VALE - MG'!Y264="CONFORME ✓",1,0)</f>
        <v/>
      </c>
      <c r="D259" s="38">
        <f>IF('VALE - MG'!AF264="CONFORME ✓",1,0)</f>
        <v/>
      </c>
      <c r="E259" s="38">
        <f>IF('VALE - MG'!#REF!="CONFORME ✓",2.5,0)</f>
        <v/>
      </c>
      <c r="F259" s="38">
        <f>IF('VALE - MG'!#REF!="CONFORME ✓",2,0)</f>
        <v/>
      </c>
      <c r="G259" s="38">
        <f>IF('VALE - MG'!#REF!="CONFORME ✓",0.5,0)</f>
        <v/>
      </c>
      <c r="H259" s="38">
        <f>SUM(A259:D259)</f>
        <v/>
      </c>
      <c r="I259" s="38">
        <f>SUM(E259:G259)</f>
        <v/>
      </c>
    </row>
    <row r="260">
      <c r="A260" s="38">
        <f>IF('VALE - MG'!#REF!="CONFORME ✓",2,0)</f>
        <v/>
      </c>
      <c r="B260" s="38">
        <f>IF('VALE - MG'!R265="CONFORME ✓",1,0)</f>
        <v/>
      </c>
      <c r="C260" s="38">
        <f>IF('VALE - MG'!Y265="CONFORME ✓",1,0)</f>
        <v/>
      </c>
      <c r="D260" s="38">
        <f>IF('VALE - MG'!AF265="CONFORME ✓",1,0)</f>
        <v/>
      </c>
      <c r="E260" s="38">
        <f>IF('VALE - MG'!#REF!="CONFORME ✓",2.5,0)</f>
        <v/>
      </c>
      <c r="F260" s="38">
        <f>IF('VALE - MG'!#REF!="CONFORME ✓",2,0)</f>
        <v/>
      </c>
      <c r="G260" s="38">
        <f>IF('VALE - MG'!#REF!="CONFORME ✓",0.5,0)</f>
        <v/>
      </c>
      <c r="H260" s="38">
        <f>SUM(A260:D260)</f>
        <v/>
      </c>
      <c r="I260" s="38">
        <f>SUM(E260:G260)</f>
        <v/>
      </c>
    </row>
    <row r="261">
      <c r="A261" s="38">
        <f>IF('VALE - MG'!#REF!="CONFORME ✓",2,0)</f>
        <v/>
      </c>
      <c r="B261" s="38">
        <f>IF('VALE - MG'!R266="CONFORME ✓",1,0)</f>
        <v/>
      </c>
      <c r="C261" s="38">
        <f>IF('VALE - MG'!Y266="CONFORME ✓",1,0)</f>
        <v/>
      </c>
      <c r="D261" s="38">
        <f>IF('VALE - MG'!AF266="CONFORME ✓",1,0)</f>
        <v/>
      </c>
      <c r="E261" s="38">
        <f>IF('VALE - MG'!#REF!="CONFORME ✓",2.5,0)</f>
        <v/>
      </c>
      <c r="F261" s="38">
        <f>IF('VALE - MG'!#REF!="CONFORME ✓",2,0)</f>
        <v/>
      </c>
      <c r="G261" s="38">
        <f>IF('VALE - MG'!#REF!="CONFORME ✓",0.5,0)</f>
        <v/>
      </c>
      <c r="H261" s="38">
        <f>SUM(A261:D261)</f>
        <v/>
      </c>
      <c r="I261" s="38">
        <f>SUM(E261:G261)</f>
        <v/>
      </c>
    </row>
    <row r="262">
      <c r="A262" s="38">
        <f>IF('VALE - MG'!#REF!="CONFORME ✓",2,0)</f>
        <v/>
      </c>
      <c r="B262" s="38">
        <f>IF('VALE - MG'!R267="CONFORME ✓",1,0)</f>
        <v/>
      </c>
      <c r="C262" s="38">
        <f>IF('VALE - MG'!Y267="CONFORME ✓",1,0)</f>
        <v/>
      </c>
      <c r="D262" s="38">
        <f>IF('VALE - MG'!AF267="CONFORME ✓",1,0)</f>
        <v/>
      </c>
      <c r="E262" s="38">
        <f>IF('VALE - MG'!#REF!="CONFORME ✓",2.5,0)</f>
        <v/>
      </c>
      <c r="F262" s="38">
        <f>IF('VALE - MG'!#REF!="CONFORME ✓",2,0)</f>
        <v/>
      </c>
      <c r="G262" s="38">
        <f>IF('VALE - MG'!#REF!="CONFORME ✓",0.5,0)</f>
        <v/>
      </c>
      <c r="H262" s="38">
        <f>SUM(A262:D262)</f>
        <v/>
      </c>
      <c r="I262" s="38">
        <f>SUM(E262:G262)</f>
        <v/>
      </c>
    </row>
    <row r="263">
      <c r="A263" s="38">
        <f>IF('VALE - MG'!#REF!="CONFORME ✓",2,0)</f>
        <v/>
      </c>
      <c r="B263" s="38">
        <f>IF('VALE - MG'!R268="CONFORME ✓",1,0)</f>
        <v/>
      </c>
      <c r="C263" s="38">
        <f>IF('VALE - MG'!Y268="CONFORME ✓",1,0)</f>
        <v/>
      </c>
      <c r="D263" s="38">
        <f>IF('VALE - MG'!AF268="CONFORME ✓",1,0)</f>
        <v/>
      </c>
      <c r="E263" s="38">
        <f>IF('VALE - MG'!#REF!="CONFORME ✓",2.5,0)</f>
        <v/>
      </c>
      <c r="F263" s="38">
        <f>IF('VALE - MG'!#REF!="CONFORME ✓",2,0)</f>
        <v/>
      </c>
      <c r="G263" s="38">
        <f>IF('VALE - MG'!#REF!="CONFORME ✓",0.5,0)</f>
        <v/>
      </c>
      <c r="H263" s="38">
        <f>SUM(A263:D263)</f>
        <v/>
      </c>
      <c r="I263" s="38">
        <f>SUM(E263:G263)</f>
        <v/>
      </c>
    </row>
    <row r="264">
      <c r="A264" s="38">
        <f>IF('VALE - MG'!#REF!="CONFORME ✓",2,0)</f>
        <v/>
      </c>
      <c r="B264" s="38">
        <f>IF('VALE - MG'!R269="CONFORME ✓",1,0)</f>
        <v/>
      </c>
      <c r="C264" s="38">
        <f>IF('VALE - MG'!Y269="CONFORME ✓",1,0)</f>
        <v/>
      </c>
      <c r="D264" s="38">
        <f>IF('VALE - MG'!AF269="CONFORME ✓",1,0)</f>
        <v/>
      </c>
      <c r="E264" s="38">
        <f>IF('VALE - MG'!#REF!="CONFORME ✓",2.5,0)</f>
        <v/>
      </c>
      <c r="F264" s="38">
        <f>IF('VALE - MG'!#REF!="CONFORME ✓",2,0)</f>
        <v/>
      </c>
      <c r="G264" s="38">
        <f>IF('VALE - MG'!#REF!="CONFORME ✓",0.5,0)</f>
        <v/>
      </c>
      <c r="H264" s="38">
        <f>SUM(A264:D264)</f>
        <v/>
      </c>
      <c r="I264" s="38">
        <f>SUM(E264:G264)</f>
        <v/>
      </c>
    </row>
    <row r="265">
      <c r="A265" s="38">
        <f>IF('VALE - MG'!#REF!="CONFORME ✓",2,0)</f>
        <v/>
      </c>
      <c r="B265" s="38">
        <f>IF('VALE - MG'!R270="CONFORME ✓",1,0)</f>
        <v/>
      </c>
      <c r="C265" s="38">
        <f>IF('VALE - MG'!Y270="CONFORME ✓",1,0)</f>
        <v/>
      </c>
      <c r="D265" s="38">
        <f>IF('VALE - MG'!AF270="CONFORME ✓",1,0)</f>
        <v/>
      </c>
      <c r="E265" s="38">
        <f>IF('VALE - MG'!#REF!="CONFORME ✓",2.5,0)</f>
        <v/>
      </c>
      <c r="F265" s="38">
        <f>IF('VALE - MG'!#REF!="CONFORME ✓",2,0)</f>
        <v/>
      </c>
      <c r="G265" s="38">
        <f>IF('VALE - MG'!#REF!="CONFORME ✓",0.5,0)</f>
        <v/>
      </c>
      <c r="H265" s="38">
        <f>SUM(A265:D265)</f>
        <v/>
      </c>
      <c r="I265" s="38">
        <f>SUM(E265:G265)</f>
        <v/>
      </c>
    </row>
    <row r="266">
      <c r="A266" s="38">
        <f>IF('VALE - MG'!#REF!="CONFORME ✓",2,0)</f>
        <v/>
      </c>
      <c r="B266" s="38">
        <f>IF('VALE - MG'!R271="CONFORME ✓",1,0)</f>
        <v/>
      </c>
      <c r="C266" s="38">
        <f>IF('VALE - MG'!Y271="CONFORME ✓",1,0)</f>
        <v/>
      </c>
      <c r="D266" s="38">
        <f>IF('VALE - MG'!AF271="CONFORME ✓",1,0)</f>
        <v/>
      </c>
      <c r="E266" s="38">
        <f>IF('VALE - MG'!#REF!="CONFORME ✓",2.5,0)</f>
        <v/>
      </c>
      <c r="F266" s="38">
        <f>IF('VALE - MG'!#REF!="CONFORME ✓",2,0)</f>
        <v/>
      </c>
      <c r="G266" s="38">
        <f>IF('VALE - MG'!#REF!="CONFORME ✓",0.5,0)</f>
        <v/>
      </c>
      <c r="H266" s="38">
        <f>SUM(A266:D266)</f>
        <v/>
      </c>
      <c r="I266" s="38">
        <f>SUM(E266:G266)</f>
        <v/>
      </c>
    </row>
    <row r="267">
      <c r="A267" s="38">
        <f>IF('VALE - MG'!#REF!="CONFORME ✓",2,0)</f>
        <v/>
      </c>
      <c r="B267" s="38">
        <f>IF('VALE - MG'!R272="CONFORME ✓",1,0)</f>
        <v/>
      </c>
      <c r="C267" s="38">
        <f>IF('VALE - MG'!Y272="CONFORME ✓",1,0)</f>
        <v/>
      </c>
      <c r="D267" s="38">
        <f>IF('VALE - MG'!AF272="CONFORME ✓",1,0)</f>
        <v/>
      </c>
      <c r="E267" s="38">
        <f>IF('VALE - MG'!#REF!="CONFORME ✓",2.5,0)</f>
        <v/>
      </c>
      <c r="F267" s="38">
        <f>IF('VALE - MG'!#REF!="CONFORME ✓",2,0)</f>
        <v/>
      </c>
      <c r="G267" s="38">
        <f>IF('VALE - MG'!#REF!="CONFORME ✓",0.5,0)</f>
        <v/>
      </c>
      <c r="H267" s="38">
        <f>SUM(A267:D267)</f>
        <v/>
      </c>
      <c r="I267" s="38">
        <f>SUM(E267:G267)</f>
        <v/>
      </c>
    </row>
    <row r="268">
      <c r="A268" s="38">
        <f>IF('VALE - MG'!#REF!="CONFORME ✓",2,0)</f>
        <v/>
      </c>
      <c r="B268" s="38">
        <f>IF('VALE - MG'!R273="CONFORME ✓",1,0)</f>
        <v/>
      </c>
      <c r="C268" s="38">
        <f>IF('VALE - MG'!Y273="CONFORME ✓",1,0)</f>
        <v/>
      </c>
      <c r="D268" s="38">
        <f>IF('VALE - MG'!AF273="CONFORME ✓",1,0)</f>
        <v/>
      </c>
      <c r="E268" s="38">
        <f>IF('VALE - MG'!#REF!="CONFORME ✓",2.5,0)</f>
        <v/>
      </c>
      <c r="F268" s="38">
        <f>IF('VALE - MG'!#REF!="CONFORME ✓",2,0)</f>
        <v/>
      </c>
      <c r="G268" s="38">
        <f>IF('VALE - MG'!#REF!="CONFORME ✓",0.5,0)</f>
        <v/>
      </c>
      <c r="H268" s="38">
        <f>SUM(A268:D268)</f>
        <v/>
      </c>
      <c r="I268" s="38">
        <f>SUM(E268:G268)</f>
        <v/>
      </c>
    </row>
    <row r="269">
      <c r="A269" s="38">
        <f>IF('VALE - MG'!#REF!="CONFORME ✓",2,0)</f>
        <v/>
      </c>
      <c r="B269" s="38">
        <f>IF('VALE - MG'!R274="CONFORME ✓",1,0)</f>
        <v/>
      </c>
      <c r="C269" s="38">
        <f>IF('VALE - MG'!Y274="CONFORME ✓",1,0)</f>
        <v/>
      </c>
      <c r="D269" s="38">
        <f>IF('VALE - MG'!AF274="CONFORME ✓",1,0)</f>
        <v/>
      </c>
      <c r="E269" s="38">
        <f>IF('VALE - MG'!#REF!="CONFORME ✓",2.5,0)</f>
        <v/>
      </c>
      <c r="F269" s="38">
        <f>IF('VALE - MG'!#REF!="CONFORME ✓",2,0)</f>
        <v/>
      </c>
      <c r="G269" s="38">
        <f>IF('VALE - MG'!#REF!="CONFORME ✓",0.5,0)</f>
        <v/>
      </c>
      <c r="H269" s="38">
        <f>SUM(A269:D269)</f>
        <v/>
      </c>
      <c r="I269" s="38">
        <f>SUM(E269:G269)</f>
        <v/>
      </c>
    </row>
    <row r="270">
      <c r="A270" s="38">
        <f>IF('VALE - MG'!#REF!="CONFORME ✓",2,0)</f>
        <v/>
      </c>
      <c r="B270" s="38">
        <f>IF('VALE - MG'!R275="CONFORME ✓",1,0)</f>
        <v/>
      </c>
      <c r="C270" s="38">
        <f>IF('VALE - MG'!Y275="CONFORME ✓",1,0)</f>
        <v/>
      </c>
      <c r="D270" s="38">
        <f>IF('VALE - MG'!AF275="CONFORME ✓",1,0)</f>
        <v/>
      </c>
      <c r="E270" s="38">
        <f>IF('VALE - MG'!#REF!="CONFORME ✓",2.5,0)</f>
        <v/>
      </c>
      <c r="F270" s="38">
        <f>IF('VALE - MG'!#REF!="CONFORME ✓",2,0)</f>
        <v/>
      </c>
      <c r="G270" s="38">
        <f>IF('VALE - MG'!#REF!="CONFORME ✓",0.5,0)</f>
        <v/>
      </c>
      <c r="H270" s="38">
        <f>SUM(A270:D270)</f>
        <v/>
      </c>
      <c r="I270" s="38">
        <f>SUM(E270:G270)</f>
        <v/>
      </c>
    </row>
    <row r="271">
      <c r="A271" s="38">
        <f>IF('VALE - MG'!#REF!="CONFORME ✓",2,0)</f>
        <v/>
      </c>
      <c r="B271" s="38">
        <f>IF('VALE - MG'!R276="CONFORME ✓",1,0)</f>
        <v/>
      </c>
      <c r="C271" s="38">
        <f>IF('VALE - MG'!Y276="CONFORME ✓",1,0)</f>
        <v/>
      </c>
      <c r="D271" s="38">
        <f>IF('VALE - MG'!AF276="CONFORME ✓",1,0)</f>
        <v/>
      </c>
      <c r="E271" s="38">
        <f>IF('VALE - MG'!#REF!="CONFORME ✓",2.5,0)</f>
        <v/>
      </c>
      <c r="F271" s="38">
        <f>IF('VALE - MG'!#REF!="CONFORME ✓",2,0)</f>
        <v/>
      </c>
      <c r="G271" s="38">
        <f>IF('VALE - MG'!#REF!="CONFORME ✓",0.5,0)</f>
        <v/>
      </c>
      <c r="H271" s="38">
        <f>SUM(A271:D271)</f>
        <v/>
      </c>
      <c r="I271" s="38">
        <f>SUM(E271:G271)</f>
        <v/>
      </c>
    </row>
    <row r="272">
      <c r="A272" s="38">
        <f>IF('VALE - MG'!#REF!="CONFORME ✓",2,0)</f>
        <v/>
      </c>
      <c r="B272" s="38">
        <f>IF('VALE - MG'!R277="CONFORME ✓",1,0)</f>
        <v/>
      </c>
      <c r="C272" s="38">
        <f>IF('VALE - MG'!Y277="CONFORME ✓",1,0)</f>
        <v/>
      </c>
      <c r="D272" s="38">
        <f>IF('VALE - MG'!AF277="CONFORME ✓",1,0)</f>
        <v/>
      </c>
      <c r="E272" s="38">
        <f>IF('VALE - MG'!#REF!="CONFORME ✓",2.5,0)</f>
        <v/>
      </c>
      <c r="F272" s="38">
        <f>IF('VALE - MG'!#REF!="CONFORME ✓",2,0)</f>
        <v/>
      </c>
      <c r="G272" s="38">
        <f>IF('VALE - MG'!#REF!="CONFORME ✓",0.5,0)</f>
        <v/>
      </c>
      <c r="H272" s="38">
        <f>SUM(A272:D272)</f>
        <v/>
      </c>
      <c r="I272" s="38">
        <f>SUM(E272:G272)</f>
        <v/>
      </c>
    </row>
    <row r="273">
      <c r="A273" s="38">
        <f>IF('VALE - MG'!#REF!="CONFORME ✓",2,0)</f>
        <v/>
      </c>
      <c r="B273" s="38">
        <f>IF('VALE - MG'!R278="CONFORME ✓",1,0)</f>
        <v/>
      </c>
      <c r="C273" s="38">
        <f>IF('VALE - MG'!Y278="CONFORME ✓",1,0)</f>
        <v/>
      </c>
      <c r="D273" s="38">
        <f>IF('VALE - MG'!AF278="CONFORME ✓",1,0)</f>
        <v/>
      </c>
      <c r="E273" s="38">
        <f>IF('VALE - MG'!#REF!="CONFORME ✓",2.5,0)</f>
        <v/>
      </c>
      <c r="F273" s="38">
        <f>IF('VALE - MG'!#REF!="CONFORME ✓",2,0)</f>
        <v/>
      </c>
      <c r="G273" s="38">
        <f>IF('VALE - MG'!#REF!="CONFORME ✓",0.5,0)</f>
        <v/>
      </c>
      <c r="H273" s="38">
        <f>SUM(A273:D273)</f>
        <v/>
      </c>
      <c r="I273" s="38">
        <f>SUM(E273:G273)</f>
        <v/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cols>
    <col width="12" customWidth="1" min="1" max="1"/>
    <col width="10" customWidth="1" min="2" max="2"/>
    <col width="14" customWidth="1" min="3" max="3"/>
    <col width="7" customWidth="1" min="4" max="4"/>
  </cols>
  <sheetData>
    <row r="1">
      <c r="A1" t="inlineStr">
        <is>
          <t>Complexo</t>
        </is>
      </c>
      <c r="B1" t="inlineStr">
        <is>
          <t>CONFORME</t>
        </is>
      </c>
      <c r="C1" t="inlineStr">
        <is>
          <t>NÃO CONFORME</t>
        </is>
      </c>
      <c r="D1" t="inlineStr">
        <is>
          <t>Total</t>
        </is>
      </c>
    </row>
    <row r="2">
      <c r="A2" t="inlineStr">
        <is>
          <t>itabira</t>
        </is>
      </c>
      <c r="B2" t="n">
        <v>45</v>
      </c>
      <c r="C2" t="n">
        <v>0</v>
      </c>
      <c r="D2" t="n">
        <v>45</v>
      </c>
    </row>
    <row r="3">
      <c r="A3" t="inlineStr">
        <is>
          <t>Paraoupeba</t>
        </is>
      </c>
      <c r="B3" t="n">
        <v>72</v>
      </c>
      <c r="C3" t="n">
        <v>0</v>
      </c>
      <c r="D3" t="n">
        <v>72</v>
      </c>
    </row>
    <row r="4">
      <c r="A4" t="inlineStr">
        <is>
          <t>VGR</t>
        </is>
      </c>
      <c r="B4" t="n">
        <v>75</v>
      </c>
      <c r="C4" t="n">
        <v>0</v>
      </c>
      <c r="D4" t="n">
        <v>75</v>
      </c>
    </row>
    <row r="5">
      <c r="A5" t="inlineStr">
        <is>
          <t>Mariana</t>
        </is>
      </c>
      <c r="B5" t="n">
        <v>42</v>
      </c>
      <c r="C5" t="n">
        <v>0</v>
      </c>
      <c r="D5" t="n">
        <v>42</v>
      </c>
    </row>
    <row r="6">
      <c r="B6" t="n">
        <v>1</v>
      </c>
      <c r="C6" t="n">
        <v>0</v>
      </c>
      <c r="D6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Rennan Miranda</dc:creator>
  <dc:title xmlns:dc="http://purl.org/dc/elements/1.1/">Layout VALE Itabira</dc:title>
  <dcterms:created xmlns:dcterms="http://purl.org/dc/terms/" xmlns:xsi="http://www.w3.org/2001/XMLSchema-instance" xsi:type="dcterms:W3CDTF">2025-07-25T14:10:02Z</dcterms:created>
  <dcterms:modified xmlns:dcterms="http://purl.org/dc/terms/" xmlns:xsi="http://www.w3.org/2001/XMLSchema-instance" xsi:type="dcterms:W3CDTF">2025-08-16T02:32:59Z</dcterms:modified>
  <cp:lastModifiedBy>Newton  Goncalves</cp:lastModifiedBy>
  <cp:keywords>Franzen</cp:keywords>
</cp:coreProperties>
</file>